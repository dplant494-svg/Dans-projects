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leearnol\AppData\Local\Temp\"/>
    </mc:Choice>
  </mc:AlternateContent>
  <xr:revisionPtr revIDLastSave="0" documentId="13_ncr:1_{2B99A320-15BA-487C-960A-46DE0F142E95}" xr6:coauthVersionLast="47" xr6:coauthVersionMax="47" xr10:uidLastSave="{00000000-0000-0000-0000-000000000000}"/>
  <bookViews>
    <workbookView xWindow="1950" yWindow="1950" windowWidth="23040" windowHeight="11295" xr2:uid="{00000000-000D-0000-FFFF-FFFF00000000}"/>
  </bookViews>
  <sheets>
    <sheet name="Read me" sheetId="1" r:id="rId1"/>
    <sheet name="Matrix" sheetId="2" r:id="rId2"/>
    <sheet name="Example — one stack" sheetId="3" r:id="rId3"/>
    <sheet name="States" sheetId="4" r:id="rId4"/>
    <sheet name="Questions" sheetId="5" r:id="rId5"/>
  </sheets>
  <definedNames>
    <definedName name="_xlnm._FilterDatabase" localSheetId="1" hidden="1">Matrix!$A$1:$P$62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3" l="1"/>
  <c r="I11" i="3" s="1"/>
  <c r="I9" i="3"/>
  <c r="I8" i="3"/>
  <c r="I7" i="3"/>
  <c r="I6" i="3"/>
  <c r="I5" i="3"/>
  <c r="I12"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tools session</author>
  </authors>
  <commentList>
    <comment ref="L3" authorId="0" shapeId="0" xr:uid="{00000000-0006-0000-0100-000001000000}">
      <text>
        <r>
          <rPr>
            <sz val="11"/>
            <color theme="1"/>
            <rFont val="Calibri"/>
            <family val="2"/>
            <scheme val="minor"/>
          </rPr>
          <t>Example entry showing the expected format. Replace it with your own.</t>
        </r>
      </text>
    </comment>
  </commentList>
</comments>
</file>

<file path=xl/sharedStrings.xml><?xml version="1.0" encoding="utf-8"?>
<sst xmlns="http://schemas.openxmlformats.org/spreadsheetml/2006/main" count="1140" uniqueCount="468">
  <si>
    <t>PRE-DEPLOYMENT MATRIX — PROPOSAL FOR REVIEW</t>
  </si>
  <si>
    <t>For: Dan Plant and Lee Arnold (DL-1 planning tool). Reviewed first by the dashboard session. Prepared by the reporting-tools session, 12 October 2026.</t>
  </si>
  <si>
    <t>What this is</t>
  </si>
  <si>
    <t>The matrix is the working view of a BOP's pre-deployment status, filled in progressively from the day the BOP lands. It populates the pre-deployment checklist (FRM-00-0168 Rev 8), which all parties agree and sign off before the BOP is run.</t>
  </si>
  <si>
    <t>Every line below comes from what SSORT's pre-deployment checklist holds today (read off the live tool, SSORT REV 161), plus the nine pre-deployment surface tests. Nothing here is new content: it is today's checklist laid out as matrix rows, so it can be agreed before anything is built.</t>
  </si>
  <si>
    <t>Decisions already made (Dan, 12 Oct)</t>
  </si>
  <si>
    <t>1. The surface tests are done in SSORT once and linked to the plan as evidence. The pre-deployment checklist's primary is DL-1; SSORT keeps a copy for rigs on other templates or not yet on DL-1.</t>
  </si>
  <si>
    <t>2. Sign-off for now is each person's name typed on the checklist. Accountability comes from the pre-deployment call held per directive before the BOP is run, where the checklist is reviewed — with the difference that every relevant party has now seen the checklist beforehand.</t>
  </si>
  <si>
    <t>3. Not compulsory yet: templates differ by rig, and the full requirement goes to department review.</t>
  </si>
  <si>
    <t>The sheets</t>
  </si>
  <si>
    <t>Matrix — one row per kind of checklist line, with what makes it complete and where the evidence comes from. THE SHEET TO REVIEW.</t>
  </si>
  <si>
    <t>Example — one stack — the matrix expanded for one 7-cavity stack, with example states and a live progress summary, to show "status as we go".</t>
  </si>
  <si>
    <t>States — the five states a line can be in, and the sign-off rule.</t>
  </si>
  <si>
    <t>Questions — the points still open, for Dan, Lee and the dashboard to answer.</t>
  </si>
  <si>
    <t>How to review (legend)</t>
  </si>
  <si>
    <t>Pale yellow cells are for you: "Agree?" (pick Yes / No / Change) and the comment column with your name. Everything else is the proposal — please do not overwrite it; put changes in your comment column.</t>
  </si>
  <si>
    <t>Order: the dashboard comments first (its column is ready), then Dan sends to Lee.</t>
  </si>
  <si>
    <t>Line</t>
  </si>
  <si>
    <t>Section</t>
  </si>
  <si>
    <t>Checklist line</t>
  </si>
  <si>
    <t>One row per</t>
  </si>
  <si>
    <t>Evidence / what is recorded</t>
  </si>
  <si>
    <t>Complete when</t>
  </si>
  <si>
    <t>N/A allowed?</t>
  </si>
  <si>
    <t>Updated by</t>
  </si>
  <si>
    <t>From</t>
  </si>
  <si>
    <t>In SSORT today (keys)</t>
  </si>
  <si>
    <t>Agree? (Dashboard)</t>
  </si>
  <si>
    <t>Dashboard comment</t>
  </si>
  <si>
    <t>Agree? (Dan)</t>
  </si>
  <si>
    <t>Dan comment</t>
  </si>
  <si>
    <t>Agree? (Lee)</t>
  </si>
  <si>
    <t>Lee comment</t>
  </si>
  <si>
    <t>A · Header</t>
  </si>
  <si>
    <t>A-01</t>
  </si>
  <si>
    <t>Header</t>
  </si>
  <si>
    <t>Rig, well, BOP stack, date</t>
  </si>
  <si>
    <t>checklist</t>
  </si>
  <si>
    <t>From the plan (rig, BOP) and the well</t>
  </si>
  <si>
    <t>All four filled</t>
  </si>
  <si>
    <t>No</t>
  </si>
  <si>
    <t>Plan (auto)</t>
  </si>
  <si>
    <t>Plan created</t>
  </si>
  <si>
    <t>pdc_rig, pdc_well, pdc_stack, pdc_date</t>
  </si>
  <si>
    <t>Yes</t>
  </si>
  <si>
    <t>Agreed. SACRED fills rig, BOP and dates from the plan post (planId, bopNo, window); the well from the daily log if posted, else typed.</t>
  </si>
  <si>
    <t>B · The checklist items (FRM-00-0168 Rev 8)</t>
  </si>
  <si>
    <t>B-01</t>
  </si>
  <si>
    <t>Item</t>
  </si>
  <si>
    <t>Has the BTW maintenance been completed within the projected timeline?</t>
  </si>
  <si>
    <t>Yes / No + remarks: If no, please state why.</t>
  </si>
  <si>
    <t>Answered (remarks given where the prompt asks)</t>
  </si>
  <si>
    <t>Yes, with reason</t>
  </si>
  <si>
    <t>SS Supervisor / TSL</t>
  </si>
  <si>
    <t>BOP lands</t>
  </si>
  <si>
    <t>pdc_1_resp, pdc_1_rem</t>
  </si>
  <si>
    <t>SACRED can pre-answer from the plan: timeline met = plan-progress finish vs baseline (planVariance). Pre-population is a suggestion the SS Supervisor confirms, never an auto-answer.</t>
  </si>
  <si>
    <t>B-02</t>
  </si>
  <si>
    <t>Was any break-in work required during the maintenance period?</t>
  </si>
  <si>
    <t>Yes / No + remarks: If yes, please specify what and outline impact on timeline.</t>
  </si>
  <si>
    <t>pdc_2_resp, pdc_2_rem</t>
  </si>
  <si>
    <t>SACRED already holds every break-in from the planning report (breakins[]) and, from REV 11, scope changes by scopeVersion. Pre-answer Yes/No with the list; crew confirms.</t>
  </si>
  <si>
    <t>B-03</t>
  </si>
  <si>
    <t>Have all CM's and known deficiencies been repaired with corresponding work orders closed out?</t>
  </si>
  <si>
    <t>Yes / No + remarks: If no, please state details.</t>
  </si>
  <si>
    <t>pdc_3_resp, pdc_3_rem</t>
  </si>
  <si>
    <t>Change</t>
  </si>
  <si>
    <t>Split the evidence: "all CMs closed" can be shown from plan_progress (every maintenance task 100 %) and open deferrals (plan_deferrals); the answer stays the crew's. Suggest the line shows "n WOs open, m deferred" beside the Yes/No.</t>
  </si>
  <si>
    <t>B-04</t>
  </si>
  <si>
    <t>Have there been any modifications or upgrades made during the maintenance period?</t>
  </si>
  <si>
    <t>Yes / No + remarks: If yes, please state Synergi NC or MOC number.</t>
  </si>
  <si>
    <t>pdc_4_resp, pdc_4_rem</t>
  </si>
  <si>
    <t>SACRED can list MOC references raised against the rig in the window if Lee's Synergi feed carries them; otherwise typed.</t>
  </si>
  <si>
    <t>B-05</t>
  </si>
  <si>
    <t>Is there an approved riser analysis and WSOG available?</t>
  </si>
  <si>
    <t>Yes / No</t>
  </si>
  <si>
    <t>Answered</t>
  </si>
  <si>
    <t>pdc_5_resp, pdc_5_rem</t>
  </si>
  <si>
    <t>Typed; no SACRED source.</t>
  </si>
  <si>
    <t>B-06</t>
  </si>
  <si>
    <t>Have all subsea accumulators been pre-charged to the pressures as per TSC recommendation? Can rig team confirm that all charging valves are in situ?</t>
  </si>
  <si>
    <t>pdc_6_resp, pdc_6_rem</t>
  </si>
  <si>
    <t>SACRED holds every issued precharge sheet per rig and BOP (precharge inbox, bop + saved). Pre-answer Yes with the sheet date and link; crew confirms the charging valves. Suggest evidence = the issued sheet.</t>
  </si>
  <si>
    <t>B-07</t>
  </si>
  <si>
    <t>Is a BOP hop planned during the deployment?</t>
  </si>
  <si>
    <t>Yes / No + remarks: If yes, does the rig have an approved riser analysis and pre-charge plan for this/these depths.</t>
  </si>
  <si>
    <t>pdc_7_resp, pdc_7_rem</t>
  </si>
  <si>
    <t>Typed.</t>
  </si>
  <si>
    <t>B-08</t>
  </si>
  <si>
    <t>What is the inclination and the diameter of the High Press Wellhead Housing (HPWH)?</t>
  </si>
  <si>
    <t>Free text answer</t>
  </si>
  <si>
    <t>pdc_8_resp, pdc_8_rem</t>
  </si>
  <si>
    <t>Typed. Could later come from the well data if DL-1 carries it.</t>
  </si>
  <si>
    <t>B-09</t>
  </si>
  <si>
    <t>Has the BOP control cycle count been re-set? If a dual stack and stacks have been swapped, have we accounted for simulator functions?</t>
  </si>
  <si>
    <t>pdc_9_resp, pdc_9_rem</t>
  </si>
  <si>
    <t>B-10</t>
  </si>
  <si>
    <t>Have any of the main wellbore elastomers been changed out?</t>
  </si>
  <si>
    <t>Yes / No + remarks: If yes, please state which components, how many closures they had, and elastomer information on the sheet below.</t>
  </si>
  <si>
    <t>pdc_10_resp, pdc_10_rem</t>
  </si>
  <si>
    <t>Pre-answer from the CBM inspection posts in the window (ram block / packer change-outs are CBM-graded items); crew confirms the elastomer table (C-03).</t>
  </si>
  <si>
    <t>B-11</t>
  </si>
  <si>
    <t>Is the subsea team aware of testing requirements during the BOP deployment and post BOP land out?</t>
  </si>
  <si>
    <t>pdc_11_resp, pdc_11_rem</t>
  </si>
  <si>
    <t>B-12</t>
  </si>
  <si>
    <t>Is the BOP control system clear of all alarms and faults?</t>
  </si>
  <si>
    <t>pdc_12_resp, pdc_12_rem</t>
  </si>
  <si>
    <t>Evidence is E-04 (EWS pages). Suggest B-12 auto-reads Complete when E-04 is Complete and "clear of alarms".</t>
  </si>
  <si>
    <t>B-13</t>
  </si>
  <si>
    <t>Are the Electrical and Marine departments aware of the requirements and procedure when re-calibrating the stack ERA's?</t>
  </si>
  <si>
    <t>pdc_13_resp, pdc_13_rem</t>
  </si>
  <si>
    <t>B-14</t>
  </si>
  <si>
    <t>Are the rig team aware of the importance to monitor Mux cables at all times when machinery moves in the moon pool? How is this managed? Has the Mux Cable management video been watched by all to be involved in the task?</t>
  </si>
  <si>
    <t>pdc_14_resp, pdc_14_rem</t>
  </si>
  <si>
    <t>B-15</t>
  </si>
  <si>
    <t>Are the Subsea team following requirements as per TB-WCE-73 (AAB C10078078) when reporting BOP/Pod Control Change outs?</t>
  </si>
  <si>
    <t>pdc_15_resp, pdc_15_rem</t>
  </si>
  <si>
    <t>Typed. AAB C10078078 acknowledgement state is on the AAB register; SACRED can show it beside the line.</t>
  </si>
  <si>
    <t>B-16</t>
  </si>
  <si>
    <t>During the maintenance period was there a need to urgently transfer/ship parts? (including taking parts from the offline stack if dual stack rig)</t>
  </si>
  <si>
    <t>Yes / No + remarks: If yes, please state details.</t>
  </si>
  <si>
    <t>pdc_16_resp, pdc_16_rem</t>
  </si>
  <si>
    <t>Pre-answer from SSCE requests in the window (ssce_requests per rig); crew confirms.</t>
  </si>
  <si>
    <t>B-17</t>
  </si>
  <si>
    <t>Are there any overdue AAB's relevant to Well Control?</t>
  </si>
  <si>
    <t>pdc_17_resp, pdc_17_rem</t>
  </si>
  <si>
    <t>SACRED knows this exactly: the AAB register holds every Priority 3 AAB per rig with state (outstanding / partly acknowledged / overdue). Suggest the line is populated, not asked: "Overdue AABs: n" with the list, and the crew adds remarks only. Keep Yes/No for the form.</t>
  </si>
  <si>
    <t>B-18</t>
  </si>
  <si>
    <t>Is there sufficient riser torque tools available with sufficient spares?</t>
  </si>
  <si>
    <t>pdc_18_resp, pdc_18_rem</t>
  </si>
  <si>
    <t>B-19</t>
  </si>
  <si>
    <t>Has the BOP handling equipment been function tested and is there any known deficiencies?</t>
  </si>
  <si>
    <t>pdc_19_resp, pdc_19_rem</t>
  </si>
  <si>
    <t>B-20</t>
  </si>
  <si>
    <t>Was someone from TSC well control equipment group onboard to assist during the BTW period?</t>
  </si>
  <si>
    <t>pdc_20_resp, pdc_20_rem</t>
  </si>
  <si>
    <t>Pre-answer from rig visit reports posted for the rig in the window (WCGRRT daily reports name the TSC visitor); crew confirms.</t>
  </si>
  <si>
    <t>B-M1</t>
  </si>
  <si>
    <t>Are any milling operations planned in the upcoming drilling program?</t>
  </si>
  <si>
    <t>Yes / No + remarks: Raised at the West Neptune MPR investigation closeout. Milling debris is a known threat to ram packers and door sealing faces, and the BOP crew need to know before the stack goes in the water. If Yes, record what is planned and when in Remarks.</t>
  </si>
  <si>
    <t>pdc_M1_resp, pdc_M1_rem</t>
  </si>
  <si>
    <t>Agreed as a line. Typed; the drilling programme is outside SACRED.</t>
  </si>
  <si>
    <t>C · BOP configuration and stack</t>
  </si>
  <si>
    <t>C-01</t>
  </si>
  <si>
    <t>BOP config</t>
  </si>
  <si>
    <t>BOP designation, manufacturer, number of cavities, status</t>
  </si>
  <si>
    <t>stack</t>
  </si>
  <si>
    <t>Selections</t>
  </si>
  <si>
    <t>All four set</t>
  </si>
  <si>
    <t>SS Supervisor</t>
  </si>
  <si>
    <t>pdcbop_desig, pdcbop_s&lt;s&gt;_mfr / _cav / _status</t>
  </si>
  <si>
    <t>From the plan (bopNo) and the Maximo asset tree (manufacturer, cavities) once item 45 reads the workbook SSORT 163 embeds.</t>
  </si>
  <si>
    <t>C-02</t>
  </si>
  <si>
    <t>Stack table</t>
  </si>
  <si>
    <t>Annular / connector position: position, specification, install date, part no., serial no., cycle count</t>
  </si>
  <si>
    <t>position (UA, RC, LA, WHC)</t>
  </si>
  <si>
    <t>Recorded values</t>
  </si>
  <si>
    <t>All fields filled</t>
  </si>
  <si>
    <t>SS Engineer</t>
  </si>
  <si>
    <t>pdcbop_s&lt;s&gt;_r&lt;i&gt;_pos / _spec / _install / _pn / _serial / _cycles</t>
  </si>
  <si>
    <t>Part and serial numbers for annulars and connectors are on the CoC tracker (Maximo extract) per rig and position; install dates from the CBM posts. Suggest SACRED pre-fills and the crew corrects; the slot/position must be a key, not free text (Q2 applies here too).</t>
  </si>
  <si>
    <t>C-03</t>
  </si>
  <si>
    <t>Ram cavity position: position, specification, install date, FWD and AFT packer part / serial, cycle count</t>
  </si>
  <si>
    <t>cavity</t>
  </si>
  <si>
    <t>pdcbop_s&lt;s&gt;_r&lt;i&gt;_pos / _spec / _install / _pnf / _pna / _snf / _sna / _cycles</t>
  </si>
  <si>
    <t>Same as C-02 for ram cavities: FWD and AFT packer part / serial come from the CBM inspection posts (SSORT 158 names them per block) and the tracker. Pre-fill, crew confirms. Cycle counts stay typed.</t>
  </si>
  <si>
    <t>C-04</t>
  </si>
  <si>
    <t>Ram packers</t>
  </si>
  <si>
    <t>All ram packers installed correctly and orientation confirmed</t>
  </si>
  <si>
    <t>Yes / No + remarks</t>
  </si>
  <si>
    <t>Rams closed up</t>
  </si>
  <si>
    <t>pdcbop_s&lt;s&gt;_packers_ok, _packers_rem</t>
  </si>
  <si>
    <t>Typed by the SS Supervisor; the D-01 photographs are its evidence.</t>
  </si>
  <si>
    <t>D · Photographic evidence (the SSORT post gate counts these)</t>
  </si>
  <si>
    <t>D-01</t>
  </si>
  <si>
    <t>Photographs</t>
  </si>
  <si>
    <t>Ram packer photographs, FWD and AFT</t>
  </si>
  <si>
    <t>2 photographs, slot-labelled (e.g. "UBSR — FWD")</t>
  </si>
  <si>
    <t>Both present</t>
  </si>
  <si>
    <t>Rams pulled</t>
  </si>
  <si>
    <t>pdcbop_s&lt;s&gt;_ph_rams</t>
  </si>
  <si>
    <t>These photographs are already taken for the CBM inspection of each ram block (SSORT cbmData photos per cavity). Suggest the matrix accepts a linked CBM post as the evidence for the cavity (Link to plan on the CBM tile, entry 62 stage 4), so the crew does not photograph the same packer twice. Slot-labelled, per Q2.</t>
  </si>
  <si>
    <t>D-02</t>
  </si>
  <si>
    <t>Cavity sealing face photographs, FWD and AFT</t>
  </si>
  <si>
    <t>2 photographs, slot-labelled</t>
  </si>
  <si>
    <t>pdcbop_s&lt;s&gt;_ph_cavities</t>
  </si>
  <si>
    <t>Same as D-01: cavity sealing faces are photographed in the ram block CBM. Link, do not re-shoot.</t>
  </si>
  <si>
    <t>D-03</t>
  </si>
  <si>
    <t>Door sealing face photographs, FWD and AFT</t>
  </si>
  <si>
    <t>pdcbop_s&lt;s&gt;_ph_doors</t>
  </si>
  <si>
    <t>Same: door sealing faces are in the door assembly CBM.</t>
  </si>
  <si>
    <t>E · Electrical</t>
  </si>
  <si>
    <t>E-01</t>
  </si>
  <si>
    <t>Electrical</t>
  </si>
  <si>
    <t>All electrical checks completed per Guidelines for Pre-Deployment – Checklist</t>
  </si>
  <si>
    <t>Electrical Supervisor</t>
  </si>
  <si>
    <t>Before tests</t>
  </si>
  <si>
    <t>pdc_elec_checks_resp, _rem</t>
  </si>
  <si>
    <t>Typed by the Electrical Supervisor; the ESVEmail column on the Rigs sheet is being filled so the line's owner gets the notification.</t>
  </si>
  <si>
    <t>E-02</t>
  </si>
  <si>
    <t>Riser Anti Recoil Relay installed (RARS) — circuit ref RL-1-EDS</t>
  </si>
  <si>
    <t>Tick</t>
  </si>
  <si>
    <t>Ticked</t>
  </si>
  <si>
    <t>pdc_elec_rars_relay</t>
  </si>
  <si>
    <t>E-03</t>
  </si>
  <si>
    <t>RARS terminal spades installed in Drill Floor LIR Wireline Riser Tensioner Cabinet</t>
  </si>
  <si>
    <t>pdc_elec_rars_spades</t>
  </si>
  <si>
    <t>E-04</t>
  </si>
  <si>
    <t>BOP EWS alarm &amp; fault pages</t>
  </si>
  <si>
    <t>Photographs (up to 6)</t>
  </si>
  <si>
    <t>At least one, clear of alarms or explained</t>
  </si>
  <si>
    <t>Before deployment</t>
  </si>
  <si>
    <t>pdc_elec_ph_ews</t>
  </si>
  <si>
    <t>Photographs attached in the plan or linked from a SSORT post; SACRED files them under 07 Photos.</t>
  </si>
  <si>
    <t>E-05</t>
  </si>
  <si>
    <t>Insulation impedance screen</t>
  </si>
  <si>
    <t>Photographs (up to 4)</t>
  </si>
  <si>
    <t>At least one</t>
  </si>
  <si>
    <t>pdc_elec_ph_ir</t>
  </si>
  <si>
    <t>As E-04.</t>
  </si>
  <si>
    <t>E-06</t>
  </si>
  <si>
    <t>Fibre signal strengths</t>
  </si>
  <si>
    <t>pdc_elec_ph_fibre</t>
  </si>
  <si>
    <t>F · Pre-deployment surface tests (entry 62.4)</t>
  </si>
  <si>
    <t>F-01</t>
  </si>
  <si>
    <t>Surface test</t>
  </si>
  <si>
    <t>FUNCTION TEST</t>
  </si>
  <si>
    <t>SSORT Surface BOP Testing · BOP Function Test, linked</t>
  </si>
  <si>
    <t>Evidence linked / attached</t>
  </si>
  <si>
    <t>Testing</t>
  </si>
  <si>
    <t>Linked SSORT record (seadrill-planlink_) or attachment</t>
  </si>
  <si>
    <t>Evidence linked: the scanner reads the seadrill-planlink_ record (v2.89) and marks the task Evidence linked; the BOP panel shows it.</t>
  </si>
  <si>
    <t>F-02</t>
  </si>
  <si>
    <t>SOAK</t>
  </si>
  <si>
    <t>SSORT · Soak Test, linked</t>
  </si>
  <si>
    <t>As F-01.</t>
  </si>
  <si>
    <t>F-03</t>
  </si>
  <si>
    <t>DRAWDOWN</t>
  </si>
  <si>
    <t>SSORT · Surface Drawdown Test, linked</t>
  </si>
  <si>
    <t>F-04</t>
  </si>
  <si>
    <t>ACOUSTIC</t>
  </si>
  <si>
    <t>SSORT · Acoustic Function Testing, linked</t>
  </si>
  <si>
    <t>Yes — no acoustic system on West Vela, West Neptune, Sevan Louisiana</t>
  </si>
  <si>
    <t>N/A on West Vela, West Neptune, Sevan Louisiana: SACRED can set N/A automatically from the rig (no acoustic system), reason pre-filled.</t>
  </si>
  <si>
    <t>F-05</t>
  </si>
  <si>
    <t>ROV</t>
  </si>
  <si>
    <t>SSORT · ROV Function Testing, linked</t>
  </si>
  <si>
    <t>F-06</t>
  </si>
  <si>
    <t>EDS</t>
  </si>
  <si>
    <t>SSORT · EDS Testing, linked</t>
  </si>
  <si>
    <t>F-07</t>
  </si>
  <si>
    <t>EHBS</t>
  </si>
  <si>
    <t>SSORT · EHBS Testing, linked</t>
  </si>
  <si>
    <t>F-08</t>
  </si>
  <si>
    <t>PRESSURE TEST</t>
  </si>
  <si>
    <t>Test charts (digital or analogue) attached in the plan</t>
  </si>
  <si>
    <t>(none — attachment in the plan)</t>
  </si>
  <si>
    <t>Attachment in the plan (plan-evidence post); SACRED files it under 03 Testing and marks Evidence linked.</t>
  </si>
  <si>
    <t>F-09</t>
  </si>
  <si>
    <t>DRIFT</t>
  </si>
  <si>
    <t>Drift record attached in the plan</t>
  </si>
  <si>
    <t>As F-08.</t>
  </si>
  <si>
    <t>G · Non-compliance, exemption</t>
  </si>
  <si>
    <t>G-01</t>
  </si>
  <si>
    <t>Non-compliance</t>
  </si>
  <si>
    <t>Potential non-compliance / non-completion of PMs: description, reason, Synergi MOC/NC or MAXIMO NC no.</t>
  </si>
  <si>
    <t>entry</t>
  </si>
  <si>
    <t>Rows as needed</t>
  </si>
  <si>
    <t>Each row has a reference, or "none" stated</t>
  </si>
  <si>
    <t>n/a</t>
  </si>
  <si>
    <t>TSL</t>
  </si>
  <si>
    <t>Any time</t>
  </si>
  <si>
    <t>pdc_nc_r&lt;i&gt;_desc / _reason / _ref</t>
  </si>
  <si>
    <t>Agreed. SACRED can pre-list the deferred work orders (plan_deferrals with reason) as candidate rows; TSL confirms or adds.</t>
  </si>
  <si>
    <t>G-02</t>
  </si>
  <si>
    <t>Exemption</t>
  </si>
  <si>
    <t>Comments in case of exemption from the above</t>
  </si>
  <si>
    <t>Text</t>
  </si>
  <si>
    <t>Filled when any line is N/A or No</t>
  </si>
  <si>
    <t>Before sign-off</t>
  </si>
  <si>
    <t>pdc_exempt</t>
  </si>
  <si>
    <t>H · Agreement and sign-off</t>
  </si>
  <si>
    <t>H-01</t>
  </si>
  <si>
    <t>Acknowledgement</t>
  </si>
  <si>
    <t>All participants have reviewed the completed work and agree the BOP is suitable for deployment</t>
  </si>
  <si>
    <t>Sign-off</t>
  </si>
  <si>
    <t>pdc_ack</t>
  </si>
  <si>
    <t>Typed tick.</t>
  </si>
  <si>
    <t>H-02</t>
  </si>
  <si>
    <t>TSL — name and date</t>
  </si>
  <si>
    <t>Typed name and date (for now: Dan, 12 Oct)</t>
  </si>
  <si>
    <t>Name and date given</t>
  </si>
  <si>
    <t>pdc_so0_name, pdc_so0_date</t>
  </si>
  <si>
    <t>Typed name and date, per Dan 12 Oct. The Help Centre's Plan Review tab (item 53) is where TSC verify the scope, not this sign-off; keep the two apart.</t>
  </si>
  <si>
    <t>H-03</t>
  </si>
  <si>
    <t>SS Supervisor — name and date</t>
  </si>
  <si>
    <t>pdc_so1_name, pdc_so1_date</t>
  </si>
  <si>
    <t>As H-02.</t>
  </si>
  <si>
    <t>H-04</t>
  </si>
  <si>
    <t>Rig Manager — name and date</t>
  </si>
  <si>
    <t>Rig Manager</t>
  </si>
  <si>
    <t>pdc_so2_name, pdc_so2_date</t>
  </si>
  <si>
    <t>H-05</t>
  </si>
  <si>
    <t>Operations Director — name and date</t>
  </si>
  <si>
    <t>Operations Director</t>
  </si>
  <si>
    <t>pdc_so3_name, pdc_so3_date</t>
  </si>
  <si>
    <t>H-06</t>
  </si>
  <si>
    <t>Well Control Equipment Manager — name and date</t>
  </si>
  <si>
    <t>Well Control Equipment Manager</t>
  </si>
  <si>
    <t>pdc_so4_name, pdc_so4_date</t>
  </si>
  <si>
    <t>H-07</t>
  </si>
  <si>
    <t>Pre-deployment call</t>
  </si>
  <si>
    <t>Pre-deployment call held per directive; checklist reviewed with all parties before the BOP is run</t>
  </si>
  <si>
    <t>Date / time of the call, attendees</t>
  </si>
  <si>
    <t>Call held</t>
  </si>
  <si>
    <t>Before running</t>
  </si>
  <si>
    <t>(new — not in SSORT today)</t>
  </si>
  <si>
    <t>Agreed as a line, and SACRED can record it: the pre-deployment call date, attendees and outcome posted from the Help Centre (the same page as the plan review), which also sends the "ready to run" notice to the Planning audience. The checklist snapshot at that moment is kept as the signed version.</t>
  </si>
  <si>
    <t>Dashboard</t>
  </si>
  <si>
    <t>General (dashboard session, 12 Oct)</t>
  </si>
  <si>
    <t>1) Add a sixth state, "Pre-filled (confirm)": SACRED can populate a third of the lines from what it already holds (plan, progress, deferrals, break-ins, AAB register, precharge sheets, CBM posts, SSCE requests, rig visits), but a pre-filled answer is never Complete until the line's owner confirms it. 2) Evidence for D-01 to D-03 and C-02/C-03 already exists in the CBM inspection posts; linking them avoids photographing every packer twice. 3) One checklist per stack = one planId (Q1): the scanner keys everything by planId already. 4) The matrix state per line is what the scanner writes to pdc state and the BOP panel shows; DL-1 reads it back (not compulsory, Dan). 5) H-07 is where the "ready to run" notification fires.</t>
  </si>
  <si>
    <t>EXAMPLE — West Vela BOP1, 7 cavities (illustrative states only, not real data)</t>
  </si>
  <si>
    <t>The matrix expanded for one stack: each "per cavity" / "per position" line becomes one row per cavity / position. States are examples showing "status as we go"; the summary on the right recalculates as states change.</t>
  </si>
  <si>
    <t>State</t>
  </si>
  <si>
    <t>Evidence</t>
  </si>
  <si>
    <t>Updated</t>
  </si>
  <si>
    <t>Progress (recalculates)</t>
  </si>
  <si>
    <t>Complete</t>
  </si>
  <si>
    <t>From the plan</t>
  </si>
  <si>
    <t>Plan</t>
  </si>
  <si>
    <t>05-Oct</t>
  </si>
  <si>
    <t>Not started</t>
  </si>
  <si>
    <t>In progress</t>
  </si>
  <si>
    <t>Have all CM's and known deficiencies been repaired with corresponding …</t>
  </si>
  <si>
    <t>Evidence linked</t>
  </si>
  <si>
    <t>Have there been any modifications or upgrades made during the maintena…</t>
  </si>
  <si>
    <t>N/A (reason)</t>
  </si>
  <si>
    <t>Lines in total</t>
  </si>
  <si>
    <t>Have all subsea accumulators been pre-charged to the pressures as per …</t>
  </si>
  <si>
    <t>Done (complete, evidence linked or N/A)</t>
  </si>
  <si>
    <t>Ready to sign?</t>
  </si>
  <si>
    <t>What is the inclination and the diameter of the High Press Wellhead Ho…</t>
  </si>
  <si>
    <t>Has the BOP control cycle count been re-set? If a dual stack and stack…</t>
  </si>
  <si>
    <t>Rule: signing opens only when no line is Not started or In progress (States sheet).</t>
  </si>
  <si>
    <t>Is the subsea team aware of testing requirements during the BOP deploy…</t>
  </si>
  <si>
    <t>Are the Electrical and Marine departments aware of the requirements an…</t>
  </si>
  <si>
    <t>Are the rig team aware of the importance to monitor Mux cables at all …</t>
  </si>
  <si>
    <t>Are the Subsea team following requirements as per TB-WCE-73 (AAB C1007…</t>
  </si>
  <si>
    <t>During the maintenance period was there a need to urgently transfer/sh…</t>
  </si>
  <si>
    <t>Is there sufficient riser torque tools available with sufficient spare…</t>
  </si>
  <si>
    <t>Has the BOP handling equipment been function tested and is there any k…</t>
  </si>
  <si>
    <t>Was someone from TSC well control equipment group onboard to assist du…</t>
  </si>
  <si>
    <t>BOP designation, manufacturer, cavities, status</t>
  </si>
  <si>
    <t>Stack table — UA</t>
  </si>
  <si>
    <t>Stack table — RC</t>
  </si>
  <si>
    <t>Stack table — LA</t>
  </si>
  <si>
    <t>Stack table — UBSR</t>
  </si>
  <si>
    <t>Stack table — CSR</t>
  </si>
  <si>
    <t>Stack table — LBSR</t>
  </si>
  <si>
    <t>Stack table — UPR</t>
  </si>
  <si>
    <t>Stack table — MPR</t>
  </si>
  <si>
    <t>Stack table — LPR</t>
  </si>
  <si>
    <t>Stack table — TPR</t>
  </si>
  <si>
    <t>Stack table — WHC</t>
  </si>
  <si>
    <t>Ram packers installed and orientation confirmed</t>
  </si>
  <si>
    <t>D-01..03</t>
  </si>
  <si>
    <t>Photographs — UBSR (ram packer, cavity face, door face; FWD + AFT)</t>
  </si>
  <si>
    <t>6 of 6 photographs</t>
  </si>
  <si>
    <t>Photographs — CSR (ram packer, cavity face, door face; FWD + AFT)</t>
  </si>
  <si>
    <t>Photographs — LBSR (ram packer, cavity face, door face; FWD + AFT)</t>
  </si>
  <si>
    <t>Photographs — UPR (ram packer, cavity face, door face; FWD + AFT)</t>
  </si>
  <si>
    <t>3 of 6 photographs</t>
  </si>
  <si>
    <t>Photographs — MPR (ram packer, cavity face, door face; FWD + AFT)</t>
  </si>
  <si>
    <t>Photographs — LPR (ram packer, cavity face, door face; FWD + AFT)</t>
  </si>
  <si>
    <t>0 of 6 photographs</t>
  </si>
  <si>
    <t>Photographs — TPR (ram packer, cavity face, door face; FWD + AFT)</t>
  </si>
  <si>
    <t>No acoustic system on West Vela</t>
  </si>
  <si>
    <t>Electrical checks</t>
  </si>
  <si>
    <t>RARS relay</t>
  </si>
  <si>
    <t>RARS spades</t>
  </si>
  <si>
    <t>EWS pages</t>
  </si>
  <si>
    <t>IR screen</t>
  </si>
  <si>
    <t>Fibre signal</t>
  </si>
  <si>
    <t>Non-compliance / PMs</t>
  </si>
  <si>
    <t>Exemption comments</t>
  </si>
  <si>
    <t>Sign-off — TSL</t>
  </si>
  <si>
    <t>Sign-off — SS Supervisor</t>
  </si>
  <si>
    <t>Sign-off — Rig Manager</t>
  </si>
  <si>
    <t>Sign-off — Operations Director</t>
  </si>
  <si>
    <t>Sign-off — Well Control Equipment Manager</t>
  </si>
  <si>
    <t>Pre-deployment call per directive</t>
  </si>
  <si>
    <t>Meaning</t>
  </si>
  <si>
    <t>Counts as closed for sign-off?</t>
  </si>
  <si>
    <t>Nothing recorded yet</t>
  </si>
  <si>
    <t>Partly recorded (e.g. 3 of 6 photographs)</t>
  </si>
  <si>
    <t>Recorded in full in the checklist</t>
  </si>
  <si>
    <t>A SSORT record or an attachment is linked as the evidence (surface tests)</t>
  </si>
  <si>
    <t>Does not apply on this rig / stack, with the reason written (e.g. no acoustic system)</t>
  </si>
  <si>
    <t>Yes — the reason is listed at sign-off</t>
  </si>
  <si>
    <t>Sign-off rule</t>
  </si>
  <si>
    <t>The checklist can be signed only when every line is Complete, Evidence linked or N/A (reason). Sign-off is the typed name and date of each of the five roles (for now). The checklist is then reviewed at the pre-deployment call held per directive before the BOP is run.</t>
  </si>
  <si>
    <t>Floor for "complete"</t>
  </si>
  <si>
    <t>Never less than SSORT's post gate today: designation set, cavities chosen, ram packers confirmed Yes, and cavities × 2 photographs in each of the three photograph sections.</t>
  </si>
  <si>
    <t>#</t>
  </si>
  <si>
    <t>Question</t>
  </si>
  <si>
    <t>For</t>
  </si>
  <si>
    <t>Proposed answer</t>
  </si>
  <si>
    <t>Dan</t>
  </si>
  <si>
    <t>Lee</t>
  </si>
  <si>
    <t>One checklist per stack on DL-1 (one plan per stack), where SSORT holds both stacks of a dual rig in one checklist?</t>
  </si>
  <si>
    <t>Lee, dashboard</t>
  </si>
  <si>
    <t>Yes: a DL-1 checklist is one stack; SSORT dual copies split by stack</t>
  </si>
  <si>
    <t>Yes. One plan per stack is already how DL-1 posts and how the scanner keys (planId = rig-BOP-date). A dual rig has two checklists; SSORT's dual copy splits by stack on link.</t>
  </si>
  <si>
    <t>Add a "slot" field to each photograph (e.g. "UBSR — FWD"), so the slot no longer depends on an editable caption?</t>
  </si>
  <si>
    <t>Lee, tools</t>
  </si>
  <si>
    <t>Yes, in both tools</t>
  </si>
  <si>
    <t>Yes, and in the plan too: the slot is the join key for a cavity photograph (UBSR-FWD), so the scanner can match a CBM photograph to a matrix row.</t>
  </si>
  <si>
    <t>Which lines may be N/A, and who may mark them?</t>
  </si>
  <si>
    <t>Dan, Lee</t>
  </si>
  <si>
    <t>As in the Matrix "N/A allowed?" column; marked by the line's owner, reason required</t>
  </si>
  <si>
    <t>As proposed. Add: SACRED may set N/A automatically where the rig has no such system (acoustic on Vela, Neptune, Louisiana), reason pre-filled, owner can override.</t>
  </si>
  <si>
    <t>Is H-07 (pre-deployment call per directive) a line on the checklist, recorded with date and attendees?</t>
  </si>
  <si>
    <t>Yes — it closes the loop the sign-off opens</t>
  </si>
  <si>
    <t>Yes. Recorded from the Help Centre (date, attendees, outcome) and it fires the ready-to-run notification to the Planning audience; the checklist snapshot at that moment is the signed version.</t>
  </si>
  <si>
    <t>Order of the five sign-offs, and can anyone delegate?</t>
  </si>
  <si>
    <t>Dan, department review</t>
  </si>
  <si>
    <t>Department review</t>
  </si>
  <si>
    <t>Department review. Dashboard note: the notification goes to each role in sign-off order only if the order is fixed; otherwise all five at once when the last line closes.</t>
  </si>
  <si>
    <t>Should the 21 items and the sign-offs become part of "complete" (SSORT does not require them to post today)?</t>
  </si>
  <si>
    <t>Decide at review; SSORT follows DL-1</t>
  </si>
  <si>
    <t>Department review. Dashboard note: whatever is decided, the scanner computes "ready to sign" from the matrix states, so changing the rule later is a rule change, not a rebuild.</t>
  </si>
  <si>
    <t>Which lines are visible to whom on the dashboard while in progress?</t>
  </si>
  <si>
    <t>Dashboard, Dan</t>
  </si>
  <si>
    <t>All lines visible to the rig, office and superintendents</t>
  </si>
  <si>
    <t>All lines visible to the rig, the office and the superintendents on the BOP dashboard's DL-1 panel and the Help Centre tab; edit rights stay with the line owner in DL-1 / SSORT; the dashboard is read-only.</t>
  </si>
  <si>
    <t>DL-1 posts rig, BOP, planId and the maintenance window. The well is not in the Maximo feed, so it stays typed unless the daily log carries it.</t>
  </si>
  <si>
    <t>DL-1 can pre-fill this: planVariance goes in planningData from REV 13 (today it is only meta.planVar). Pre-filled (confirm); the SS Supervisor answers.</t>
  </si>
  <si>
    <t>Correction: scope changes by scopeVersion arrive with DL-1 REV 13 (SACRED's 'REV 11'). Break-ins are in DL-1 today (breakins[]). DL-1 pre-fills the list; the crew confirms.</t>
  </si>
  <si>
    <t>Agree with the split. DL-1 is the source: open WOs, deferred WOs with reason, the Maximo NC reference per WO (DL-1 REV 11) and the list of WOs executed after their Maximo due date. Show 'n open, m deferred, k with NC' beside the Yes/No.</t>
  </si>
  <si>
    <t>DL-1 already holds the Synergi MoCs per rig and location from the WCE Reference Hub (Synergi number, date, rig). Pre-fill the MoCs raised on this rig inside the maintenance window as candidates; the crew confirms which were stack modifications or upgrades. Synergi NCs are not in the feed, so they stay typed.</t>
  </si>
  <si>
    <t>As the dashboard: the issued precharge sheet is the evidence (SACRED holds it). Charging valves in situ stays a crew confirmation.</t>
  </si>
  <si>
    <t>Typed for now. Later from the BOP Cycle Counter once PLATO data flows.</t>
  </si>
  <si>
    <t>As the dashboard, plus DL-1: the executed WOs on packer and seal change-out job plans in the window, with their Materials lines (elastomer part numbers). Pre-filled (confirm); closures stay typed.</t>
  </si>
  <si>
    <t>Do not auto-complete B-12 from E-04. E-04 is the Electrical Supervisor's photo evidence; B-12 is the SS Supervisor's answer for the whole control system. Show E-04's state beside B-12 as Pre-filled (confirm), consistent with the sixth state.</t>
  </si>
  <si>
    <t>As the dashboard: show the AAB C10078078 acknowledgement state beside the line.</t>
  </si>
  <si>
    <t>As the dashboard. One source: SACRED's ssce_requests. DL-1 REV 12 shows the same request status per WO, read from SACRED.</t>
  </si>
  <si>
    <t>Agreed: populated from the AAB register, not asked. The crew adds remarks only.</t>
  </si>
  <si>
    <t>As the dashboard: pre-fill from the rig visit reports; the crew confirms.</t>
  </si>
  <si>
    <t>Agreed as a line. Typed.</t>
  </si>
  <si>
    <t>From the plan (bopNo) and the Maximo asset tree.</t>
  </si>
  <si>
    <t>Agree to pre-fill. The CoC Tracker holds part and serial number per Maximo asset, not per stack position, so the join needs a Maximo location to slot map (331.BOP1.xxx to UA / RC / LA / WHC). Neither tool has it yet: agree the slot key list once (Q2) and add the map as a small lookup.</t>
  </si>
  <si>
    <t>As C-02 for ram cavities. Cycle counts stay typed until the BOP Cycle Counter has data.</t>
  </si>
  <si>
    <t>Typed by the SS Supervisor.</t>
  </si>
  <si>
    <t>Accept a linked CBM photograph only if it was taken in this maintenance window and after the last change-out on that cavity; otherwise re-shoot. The pre-deployment photograph evidences the as-installed condition before the doors close. A CBM photograph taken before a packer or seal change does not.</t>
  </si>
  <si>
    <t>As D-01.</t>
  </si>
  <si>
    <t>Agree, as Pre-filled (confirm) rather than closed automatically: the rig equipment list needs an owner, because rigs get upgraded.</t>
  </si>
  <si>
    <t>Carried by DL-1 REV 13's plan-evidence post.</t>
  </si>
  <si>
    <t>DL-1 is the source here: REV 11 records the Maximo NC reference per WO and REV 13 carries it in deferred[]. Pre-fill rows from DL-1's NC list (WO, description, reason, NC ref); the TSL confirms or adds Synergi MoC/NC rows.</t>
  </si>
  <si>
    <t>Order and delegation per Q5.</t>
  </si>
  <si>
    <t>Agreed. Ready to run fires only when H-01 to H-06 are complete and no line is open; the snapshot at the call is the signed version.</t>
  </si>
  <si>
    <t>1) Sixth state agreed: Pre-filled (confirm) never counts as closed. 2) One pre-fill source per line. DL-1 pre-fills from what it holds: plan, variance, break-ins, deferrals and NC references, Hub MoCs, CoC part and serial, SSCE status. SACRED pre-fills only what only it holds: precharge sheets, AAB register, CBM posts, rig visit reports. DL-1 reads SACRED's pre-fills, so nothing is filled twice. 3) Numbering: SACRED's 'REV 11' is DL-1 REV 13. The matrix goes into REV 13's pdcData, with its shape agreed in the rolling handoff before it is built. 4) CBM photographs count as pre-deployment evidence only when taken after the last change-out in the window.</t>
  </si>
  <si>
    <t>Yes. Matches DL-1's planId (rig-BOP-yyyymmdd).</t>
  </si>
  <si>
    <t>Yes, in both tools and the plan. The slot is a fixed key list per stack (UA, RC, LA, WHC, UBSR, CSR, LBSR, UPR, MPR, LPR, TPR ...), not free text. DL-1 also needs a Maximo location to slot map.</t>
  </si>
  <si>
    <t>As proposed. Automatic N/A shows as Pre-filled (confirm); the owner closes it.</t>
  </si>
  <si>
    <t>Yes.</t>
  </si>
  <si>
    <t>Department review.</t>
  </si>
  <si>
    <t>Yes, as the dashboard. The dashboard stays read-only; personal data per the Q19 decision.</t>
  </si>
  <si>
    <t>DRAFT: the Lee columns (Matrix O-P, Questions G) were drafted by the DL-1 session on 11 Oct 2026 for Lee to edit. They are not yet Lee's position. Dan's column is still to come.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</si>
</sst>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4"/>
      <color rgb="FF002C77"/>
      <name val="Arial"/>
    </font>
    <font>
      <sz val="10"/>
      <name val="Arial"/>
    </font>
    <font>
      <b/>
      <sz val="11"/>
      <color rgb="FF002C77"/>
      <name val="Arial"/>
    </font>
    <font>
      <sz val="9"/>
      <name val="Arial"/>
    </font>
    <font>
      <b/>
      <sz val="10"/>
      <color rgb="FFFFFFFF"/>
      <name val="Arial"/>
    </font>
    <font>
      <b/>
      <sz val="10"/>
      <color rgb="FF002C77"/>
      <name val="Arial"/>
    </font>
    <font>
      <b/>
      <sz val="9"/>
      <name val="Arial"/>
    </font>
    <font>
      <b/>
      <sz val="12"/>
      <color rgb="FF002C77"/>
      <name val="Arial"/>
    </font>
    <font>
      <i/>
      <sz val="9"/>
      <name val="Arial"/>
    </font>
    <font>
      <i/>
      <sz val="8"/>
      <name val="Arial"/>
    </font>
    <font>
      <b/>
      <sz val="11"/>
      <color rgb="FFB3261E"/>
      <name val="Calibri"/>
      <family val="2"/>
      <scheme val="minor"/>
    </font>
  </fonts>
  <fills count="5">
    <fill>
      <patternFill patternType="none"/>
    </fill>
    <fill>
      <patternFill patternType="gray125"/>
    </fill>
    <fill>
      <patternFill patternType="solid">
        <fgColor rgb="FFFFF7D6"/>
      </patternFill>
    </fill>
    <fill>
      <patternFill patternType="solid">
        <fgColor rgb="FF002C77"/>
      </patternFill>
    </fill>
    <fill>
      <patternFill patternType="solid">
        <fgColor rgb="FFDCE6F5"/>
      </patternFill>
    </fill>
  </fills>
  <borders count="3">
    <border>
      <left/>
      <right/>
      <top/>
      <bottom/>
      <diagonal/>
    </border>
    <border>
      <left style="thin">
        <color rgb="FFC9D4E8"/>
      </left>
      <right style="thin">
        <color rgb="FFC9D4E8"/>
      </right>
      <top style="thin">
        <color rgb="FFC9D4E8"/>
      </top>
      <bottom style="thin">
        <color rgb="FFC9D4E8"/>
      </bottom>
      <diagonal/>
    </border>
    <border>
      <left/>
      <right/>
      <top/>
      <bottom/>
      <diagonal/>
    </border>
  </borders>
  <cellStyleXfs count="1">
    <xf numFmtId="0" fontId="0" fillId="0" borderId="2"/>
  </cellStyleXfs>
  <cellXfs count="26">
    <xf numFmtId="0" fontId="0" fillId="0" borderId="0" xfId="0" applyBorder="1"/>
    <xf numFmtId="0" fontId="1" fillId="0" borderId="0" xfId="0" applyFont="1" applyBorder="1" applyAlignment="1">
      <alignment vertical="top" wrapText="1"/>
    </xf>
    <xf numFmtId="0" fontId="2" fillId="0" borderId="0" xfId="0" applyFont="1" applyBorder="1" applyAlignment="1">
      <alignment vertical="top" wrapText="1"/>
    </xf>
    <xf numFmtId="0" fontId="3" fillId="0" borderId="0" xfId="0" applyFont="1" applyBorder="1" applyAlignment="1">
      <alignment vertical="top" wrapText="1"/>
    </xf>
    <xf numFmtId="0" fontId="4" fillId="2" borderId="0" xfId="0" applyFont="1" applyFill="1" applyBorder="1" applyAlignment="1">
      <alignment vertical="top" wrapText="1"/>
    </xf>
    <xf numFmtId="0" fontId="5" fillId="3" borderId="1" xfId="0" applyFont="1" applyFill="1" applyBorder="1" applyAlignment="1">
      <alignment vertical="center" wrapText="1"/>
    </xf>
    <xf numFmtId="0" fontId="0" fillId="4" borderId="0" xfId="0" applyFill="1" applyBorder="1"/>
    <xf numFmtId="0" fontId="7" fillId="0" borderId="1" xfId="0" applyFont="1" applyBorder="1" applyAlignment="1">
      <alignment vertical="top" wrapText="1"/>
    </xf>
    <xf numFmtId="0" fontId="4" fillId="0" borderId="1" xfId="0" applyFont="1" applyBorder="1" applyAlignment="1">
      <alignment vertical="top" wrapText="1"/>
    </xf>
    <xf numFmtId="0" fontId="4" fillId="2" borderId="1" xfId="0" applyFont="1" applyFill="1" applyBorder="1" applyAlignment="1">
      <alignment vertical="top" wrapText="1"/>
    </xf>
    <xf numFmtId="0" fontId="8" fillId="0" borderId="0" xfId="0" applyFont="1" applyBorder="1"/>
    <xf numFmtId="0" fontId="5" fillId="3" borderId="1" xfId="0" applyFont="1" applyFill="1" applyBorder="1"/>
    <xf numFmtId="0" fontId="6" fillId="0" borderId="0" xfId="0" applyFont="1" applyBorder="1"/>
    <xf numFmtId="0" fontId="4" fillId="0" borderId="1" xfId="0" applyFont="1" applyBorder="1" applyAlignment="1">
      <alignment vertical="top"/>
    </xf>
    <xf numFmtId="0" fontId="4" fillId="2" borderId="1" xfId="0" applyFont="1" applyFill="1" applyBorder="1" applyAlignment="1">
      <alignment vertical="top"/>
    </xf>
    <xf numFmtId="0" fontId="4" fillId="0" borderId="0" xfId="0" applyFont="1" applyBorder="1"/>
    <xf numFmtId="0" fontId="7" fillId="0" borderId="0" xfId="0" applyFont="1" applyBorder="1"/>
    <xf numFmtId="9" fontId="7" fillId="0" borderId="0" xfId="0" applyNumberFormat="1" applyFont="1" applyBorder="1"/>
    <xf numFmtId="0" fontId="10" fillId="0" borderId="0" xfId="0" applyFont="1" applyBorder="1"/>
    <xf numFmtId="0" fontId="5" fillId="3" borderId="1" xfId="0" applyFont="1" applyFill="1" applyBorder="1" applyAlignment="1">
      <alignment vertical="top" wrapText="1"/>
    </xf>
    <xf numFmtId="0" fontId="7" fillId="0" borderId="2" xfId="0" applyFont="1" applyAlignment="1">
      <alignment vertical="top" wrapText="1"/>
    </xf>
    <xf numFmtId="0" fontId="4" fillId="0" borderId="2" xfId="0" applyFont="1" applyAlignment="1">
      <alignment vertical="top" wrapText="1"/>
    </xf>
    <xf numFmtId="0" fontId="6" fillId="4" borderId="2" xfId="0" applyFont="1" applyFill="1"/>
    <xf numFmtId="0" fontId="0" fillId="0" borderId="0" xfId="0" applyBorder="1"/>
    <xf numFmtId="0" fontId="9" fillId="0" borderId="2" xfId="0" applyFont="1" applyAlignment="1">
      <alignment vertical="top" wrapText="1"/>
    </xf>
    <xf numFmtId="0" fontId="11" fillId="0" borderId="0" xfId="0" applyFont="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9"/>
  <sheetViews>
    <sheetView tabSelected="1" workbookViewId="0"/>
  </sheetViews>
  <sheetFormatPr defaultRowHeight="15" x14ac:dyDescent="0.25"/>
  <cols>
    <col min="1" max="1" width="130" customWidth="1"/>
  </cols>
  <sheetData>
    <row r="1" spans="1:1" ht="18" customHeight="1" x14ac:dyDescent="0.25">
      <c r="A1" s="1" t="s">
        <v>0</v>
      </c>
    </row>
    <row r="2" spans="1:1" x14ac:dyDescent="0.25">
      <c r="A2" s="2" t="s">
        <v>1</v>
      </c>
    </row>
    <row r="3" spans="1:1" x14ac:dyDescent="0.25">
      <c r="A3" s="3" t="s">
        <v>2</v>
      </c>
    </row>
    <row r="4" spans="1:1" ht="24.95" customHeight="1" x14ac:dyDescent="0.25">
      <c r="A4" s="2" t="s">
        <v>3</v>
      </c>
    </row>
    <row r="5" spans="1:1" ht="24.95" customHeight="1" x14ac:dyDescent="0.25">
      <c r="A5" s="2" t="s">
        <v>4</v>
      </c>
    </row>
    <row r="6" spans="1:1" x14ac:dyDescent="0.25">
      <c r="A6" s="3" t="s">
        <v>5</v>
      </c>
    </row>
    <row r="7" spans="1:1" ht="24.95" customHeight="1" x14ac:dyDescent="0.25">
      <c r="A7" s="2" t="s">
        <v>6</v>
      </c>
    </row>
    <row r="8" spans="1:1" ht="24.95" customHeight="1" x14ac:dyDescent="0.25">
      <c r="A8" s="2" t="s">
        <v>7</v>
      </c>
    </row>
    <row r="9" spans="1:1" x14ac:dyDescent="0.25">
      <c r="A9" s="2" t="s">
        <v>8</v>
      </c>
    </row>
    <row r="10" spans="1:1" x14ac:dyDescent="0.25">
      <c r="A10" s="3" t="s">
        <v>9</v>
      </c>
    </row>
    <row r="11" spans="1:1" x14ac:dyDescent="0.25">
      <c r="A11" s="2" t="s">
        <v>10</v>
      </c>
    </row>
    <row r="12" spans="1:1" x14ac:dyDescent="0.25">
      <c r="A12" s="2" t="s">
        <v>11</v>
      </c>
    </row>
    <row r="13" spans="1:1" x14ac:dyDescent="0.25">
      <c r="A13" s="2" t="s">
        <v>12</v>
      </c>
    </row>
    <row r="14" spans="1:1" x14ac:dyDescent="0.25">
      <c r="A14" s="2" t="s">
        <v>13</v>
      </c>
    </row>
    <row r="15" spans="1:1" x14ac:dyDescent="0.25">
      <c r="A15" s="3" t="s">
        <v>14</v>
      </c>
    </row>
    <row r="16" spans="1:1" ht="23.1" customHeight="1" x14ac:dyDescent="0.25">
      <c r="A16" s="4" t="s">
        <v>15</v>
      </c>
    </row>
    <row r="17" spans="1:1" x14ac:dyDescent="0.25">
      <c r="A17" s="2" t="s">
        <v>16</v>
      </c>
    </row>
    <row r="19" spans="1:1" x14ac:dyDescent="0.25">
      <c r="A19" s="25" t="s">
        <v>467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64"/>
  <sheetViews>
    <sheetView workbookViewId="0">
      <pane xSplit="3" ySplit="1" topLeftCell="D2" activePane="bottomRight" state="frozen"/>
      <selection pane="topRight"/>
      <selection pane="bottomLeft"/>
      <selection pane="bottomRight"/>
    </sheetView>
  </sheetViews>
  <sheetFormatPr defaultRowHeight="15" x14ac:dyDescent="0.25"/>
  <cols>
    <col min="1" max="1" width="7" customWidth="1"/>
    <col min="2" max="2" width="16" customWidth="1"/>
    <col min="3" max="3" width="46" customWidth="1"/>
    <col min="4" max="4" width="14" customWidth="1"/>
    <col min="5" max="5" width="34" customWidth="1"/>
    <col min="6" max="6" width="30" customWidth="1"/>
    <col min="7" max="8" width="14" customWidth="1"/>
    <col min="9" max="9" width="16" customWidth="1"/>
    <col min="10" max="10" width="26" customWidth="1"/>
    <col min="11" max="11" width="11" customWidth="1"/>
    <col min="12" max="12" width="30" customWidth="1"/>
    <col min="13" max="13" width="11" customWidth="1"/>
    <col min="14" max="14" width="30" customWidth="1"/>
    <col min="15" max="15" width="11" customWidth="1"/>
    <col min="16" max="16" width="30" customWidth="1"/>
  </cols>
  <sheetData>
    <row r="1" spans="1:16" ht="39" customHeight="1" x14ac:dyDescent="0.25">
      <c r="A1" s="5" t="s">
        <v>17</v>
      </c>
      <c r="B1" s="5" t="s">
        <v>18</v>
      </c>
      <c r="C1" s="5" t="s">
        <v>19</v>
      </c>
      <c r="D1" s="5" t="s">
        <v>20</v>
      </c>
      <c r="E1" s="5" t="s">
        <v>21</v>
      </c>
      <c r="F1" s="5" t="s">
        <v>22</v>
      </c>
      <c r="G1" s="5" t="s">
        <v>23</v>
      </c>
      <c r="H1" s="5" t="s">
        <v>24</v>
      </c>
      <c r="I1" s="5" t="s">
        <v>25</v>
      </c>
      <c r="J1" s="5" t="s">
        <v>26</v>
      </c>
      <c r="K1" s="5" t="s">
        <v>27</v>
      </c>
      <c r="L1" s="5" t="s">
        <v>28</v>
      </c>
      <c r="M1" s="5" t="s">
        <v>29</v>
      </c>
      <c r="N1" s="5" t="s">
        <v>30</v>
      </c>
      <c r="O1" s="5" t="s">
        <v>31</v>
      </c>
      <c r="P1" s="5" t="s">
        <v>32</v>
      </c>
    </row>
    <row r="2" spans="1:16" x14ac:dyDescent="0.25">
      <c r="A2" s="22" t="s">
        <v>33</v>
      </c>
      <c r="B2" s="23"/>
      <c r="C2" s="23"/>
      <c r="D2" s="23"/>
      <c r="E2" s="23"/>
      <c r="F2" s="23"/>
      <c r="G2" s="23"/>
      <c r="H2" s="23"/>
      <c r="I2" s="23"/>
      <c r="J2" s="23"/>
      <c r="K2" s="6"/>
      <c r="L2" s="6"/>
      <c r="M2" s="6"/>
      <c r="N2" s="6"/>
      <c r="O2" s="6"/>
      <c r="P2" s="6"/>
    </row>
    <row r="3" spans="1:16" ht="23.1" customHeight="1" x14ac:dyDescent="0.25">
      <c r="A3" s="7" t="s">
        <v>34</v>
      </c>
      <c r="B3" s="8" t="s">
        <v>35</v>
      </c>
      <c r="C3" s="8" t="s">
        <v>36</v>
      </c>
      <c r="D3" s="8" t="s">
        <v>37</v>
      </c>
      <c r="E3" s="8" t="s">
        <v>38</v>
      </c>
      <c r="F3" s="8" t="s">
        <v>39</v>
      </c>
      <c r="G3" s="8" t="s">
        <v>40</v>
      </c>
      <c r="H3" s="8" t="s">
        <v>41</v>
      </c>
      <c r="I3" s="8" t="s">
        <v>42</v>
      </c>
      <c r="J3" s="8" t="s">
        <v>43</v>
      </c>
      <c r="K3" s="9" t="s">
        <v>44</v>
      </c>
      <c r="L3" s="9" t="s">
        <v>45</v>
      </c>
      <c r="M3" s="9"/>
      <c r="N3" s="9"/>
      <c r="O3" s="9" t="s">
        <v>44</v>
      </c>
      <c r="P3" s="9" t="s">
        <v>435</v>
      </c>
    </row>
    <row r="4" spans="1:16" x14ac:dyDescent="0.25">
      <c r="A4" s="22" t="s">
        <v>46</v>
      </c>
      <c r="B4" s="23"/>
      <c r="C4" s="23"/>
      <c r="D4" s="23"/>
      <c r="E4" s="23"/>
      <c r="F4" s="23"/>
      <c r="G4" s="23"/>
      <c r="H4" s="23"/>
      <c r="I4" s="23"/>
      <c r="J4" s="23"/>
      <c r="K4" s="6"/>
      <c r="L4" s="6"/>
      <c r="M4" s="6"/>
      <c r="N4" s="6"/>
      <c r="O4" s="6"/>
      <c r="P4" s="6"/>
    </row>
    <row r="5" spans="1:16" ht="23.1" customHeight="1" x14ac:dyDescent="0.25">
      <c r="A5" s="7" t="s">
        <v>47</v>
      </c>
      <c r="B5" s="8" t="s">
        <v>48</v>
      </c>
      <c r="C5" s="8" t="s">
        <v>49</v>
      </c>
      <c r="D5" s="8" t="s">
        <v>37</v>
      </c>
      <c r="E5" s="8" t="s">
        <v>50</v>
      </c>
      <c r="F5" s="8" t="s">
        <v>51</v>
      </c>
      <c r="G5" s="8" t="s">
        <v>52</v>
      </c>
      <c r="H5" s="8" t="s">
        <v>53</v>
      </c>
      <c r="I5" s="8" t="s">
        <v>54</v>
      </c>
      <c r="J5" s="8" t="s">
        <v>55</v>
      </c>
      <c r="K5" s="9" t="s">
        <v>44</v>
      </c>
      <c r="L5" s="9" t="s">
        <v>56</v>
      </c>
      <c r="M5" s="9"/>
      <c r="N5" s="9"/>
      <c r="O5" s="9" t="s">
        <v>44</v>
      </c>
      <c r="P5" s="9" t="s">
        <v>436</v>
      </c>
    </row>
    <row r="6" spans="1:16" ht="23.1" customHeight="1" x14ac:dyDescent="0.25">
      <c r="A6" s="7" t="s">
        <v>57</v>
      </c>
      <c r="B6" s="8" t="s">
        <v>48</v>
      </c>
      <c r="C6" s="8" t="s">
        <v>58</v>
      </c>
      <c r="D6" s="8" t="s">
        <v>37</v>
      </c>
      <c r="E6" s="8" t="s">
        <v>59</v>
      </c>
      <c r="F6" s="8" t="s">
        <v>51</v>
      </c>
      <c r="G6" s="8" t="s">
        <v>52</v>
      </c>
      <c r="H6" s="8" t="s">
        <v>53</v>
      </c>
      <c r="I6" s="8" t="s">
        <v>54</v>
      </c>
      <c r="J6" s="8" t="s">
        <v>60</v>
      </c>
      <c r="K6" s="9" t="s">
        <v>44</v>
      </c>
      <c r="L6" s="9" t="s">
        <v>61</v>
      </c>
      <c r="M6" s="9"/>
      <c r="N6" s="9"/>
      <c r="O6" s="9" t="s">
        <v>44</v>
      </c>
      <c r="P6" s="9" t="s">
        <v>437</v>
      </c>
    </row>
    <row r="7" spans="1:16" ht="23.1" customHeight="1" x14ac:dyDescent="0.25">
      <c r="A7" s="7" t="s">
        <v>62</v>
      </c>
      <c r="B7" s="8" t="s">
        <v>48</v>
      </c>
      <c r="C7" s="8" t="s">
        <v>63</v>
      </c>
      <c r="D7" s="8" t="s">
        <v>37</v>
      </c>
      <c r="E7" s="8" t="s">
        <v>64</v>
      </c>
      <c r="F7" s="8" t="s">
        <v>51</v>
      </c>
      <c r="G7" s="8" t="s">
        <v>52</v>
      </c>
      <c r="H7" s="8" t="s">
        <v>53</v>
      </c>
      <c r="I7" s="8" t="s">
        <v>54</v>
      </c>
      <c r="J7" s="8" t="s">
        <v>65</v>
      </c>
      <c r="K7" s="9" t="s">
        <v>66</v>
      </c>
      <c r="L7" s="9" t="s">
        <v>67</v>
      </c>
      <c r="M7" s="9"/>
      <c r="N7" s="9"/>
      <c r="O7" s="9" t="s">
        <v>66</v>
      </c>
      <c r="P7" s="9" t="s">
        <v>438</v>
      </c>
    </row>
    <row r="8" spans="1:16" ht="23.1" customHeight="1" x14ac:dyDescent="0.25">
      <c r="A8" s="7" t="s">
        <v>68</v>
      </c>
      <c r="B8" s="8" t="s">
        <v>48</v>
      </c>
      <c r="C8" s="8" t="s">
        <v>69</v>
      </c>
      <c r="D8" s="8" t="s">
        <v>37</v>
      </c>
      <c r="E8" s="8" t="s">
        <v>70</v>
      </c>
      <c r="F8" s="8" t="s">
        <v>51</v>
      </c>
      <c r="G8" s="8" t="s">
        <v>52</v>
      </c>
      <c r="H8" s="8" t="s">
        <v>53</v>
      </c>
      <c r="I8" s="8" t="s">
        <v>54</v>
      </c>
      <c r="J8" s="8" t="s">
        <v>71</v>
      </c>
      <c r="K8" s="9" t="s">
        <v>44</v>
      </c>
      <c r="L8" s="9" t="s">
        <v>72</v>
      </c>
      <c r="M8" s="9"/>
      <c r="N8" s="9"/>
      <c r="O8" s="9" t="s">
        <v>66</v>
      </c>
      <c r="P8" s="9" t="s">
        <v>439</v>
      </c>
    </row>
    <row r="9" spans="1:16" ht="23.1" customHeight="1" x14ac:dyDescent="0.25">
      <c r="A9" s="7" t="s">
        <v>73</v>
      </c>
      <c r="B9" s="8" t="s">
        <v>48</v>
      </c>
      <c r="C9" s="8" t="s">
        <v>74</v>
      </c>
      <c r="D9" s="8" t="s">
        <v>37</v>
      </c>
      <c r="E9" s="8" t="s">
        <v>75</v>
      </c>
      <c r="F9" s="8" t="s">
        <v>76</v>
      </c>
      <c r="G9" s="8" t="s">
        <v>52</v>
      </c>
      <c r="H9" s="8" t="s">
        <v>53</v>
      </c>
      <c r="I9" s="8" t="s">
        <v>54</v>
      </c>
      <c r="J9" s="8" t="s">
        <v>77</v>
      </c>
      <c r="K9" s="9" t="s">
        <v>44</v>
      </c>
      <c r="L9" s="9" t="s">
        <v>78</v>
      </c>
      <c r="M9" s="9"/>
      <c r="N9" s="9"/>
      <c r="O9" s="9" t="s">
        <v>44</v>
      </c>
      <c r="P9" s="9" t="s">
        <v>87</v>
      </c>
    </row>
    <row r="10" spans="1:16" ht="34.5" customHeight="1" x14ac:dyDescent="0.25">
      <c r="A10" s="7" t="s">
        <v>79</v>
      </c>
      <c r="B10" s="8" t="s">
        <v>48</v>
      </c>
      <c r="C10" s="8" t="s">
        <v>80</v>
      </c>
      <c r="D10" s="8" t="s">
        <v>37</v>
      </c>
      <c r="E10" s="8" t="s">
        <v>75</v>
      </c>
      <c r="F10" s="8" t="s">
        <v>76</v>
      </c>
      <c r="G10" s="8" t="s">
        <v>52</v>
      </c>
      <c r="H10" s="8" t="s">
        <v>53</v>
      </c>
      <c r="I10" s="8" t="s">
        <v>54</v>
      </c>
      <c r="J10" s="8" t="s">
        <v>81</v>
      </c>
      <c r="K10" s="9" t="s">
        <v>66</v>
      </c>
      <c r="L10" s="9" t="s">
        <v>82</v>
      </c>
      <c r="M10" s="9"/>
      <c r="N10" s="9"/>
      <c r="O10" s="9" t="s">
        <v>66</v>
      </c>
      <c r="P10" s="9" t="s">
        <v>440</v>
      </c>
    </row>
    <row r="11" spans="1:16" ht="34.5" customHeight="1" x14ac:dyDescent="0.25">
      <c r="A11" s="7" t="s">
        <v>83</v>
      </c>
      <c r="B11" s="8" t="s">
        <v>48</v>
      </c>
      <c r="C11" s="8" t="s">
        <v>84</v>
      </c>
      <c r="D11" s="8" t="s">
        <v>37</v>
      </c>
      <c r="E11" s="8" t="s">
        <v>85</v>
      </c>
      <c r="F11" s="8" t="s">
        <v>51</v>
      </c>
      <c r="G11" s="8" t="s">
        <v>52</v>
      </c>
      <c r="H11" s="8" t="s">
        <v>53</v>
      </c>
      <c r="I11" s="8" t="s">
        <v>54</v>
      </c>
      <c r="J11" s="8" t="s">
        <v>86</v>
      </c>
      <c r="K11" s="9" t="s">
        <v>44</v>
      </c>
      <c r="L11" s="9" t="s">
        <v>87</v>
      </c>
      <c r="M11" s="9"/>
      <c r="N11" s="9"/>
      <c r="O11" s="9" t="s">
        <v>44</v>
      </c>
      <c r="P11" s="9" t="s">
        <v>87</v>
      </c>
    </row>
    <row r="12" spans="1:16" ht="23.1" customHeight="1" x14ac:dyDescent="0.25">
      <c r="A12" s="7" t="s">
        <v>88</v>
      </c>
      <c r="B12" s="8" t="s">
        <v>48</v>
      </c>
      <c r="C12" s="8" t="s">
        <v>89</v>
      </c>
      <c r="D12" s="8" t="s">
        <v>37</v>
      </c>
      <c r="E12" s="8" t="s">
        <v>90</v>
      </c>
      <c r="F12" s="8" t="s">
        <v>76</v>
      </c>
      <c r="G12" s="8" t="s">
        <v>52</v>
      </c>
      <c r="H12" s="8" t="s">
        <v>53</v>
      </c>
      <c r="I12" s="8" t="s">
        <v>54</v>
      </c>
      <c r="J12" s="8" t="s">
        <v>91</v>
      </c>
      <c r="K12" s="9" t="s">
        <v>44</v>
      </c>
      <c r="L12" s="9" t="s">
        <v>92</v>
      </c>
      <c r="M12" s="9"/>
      <c r="N12" s="9"/>
      <c r="O12" s="9" t="s">
        <v>44</v>
      </c>
      <c r="P12" s="9" t="s">
        <v>87</v>
      </c>
    </row>
    <row r="13" spans="1:16" ht="34.5" customHeight="1" x14ac:dyDescent="0.25">
      <c r="A13" s="7" t="s">
        <v>93</v>
      </c>
      <c r="B13" s="8" t="s">
        <v>48</v>
      </c>
      <c r="C13" s="8" t="s">
        <v>94</v>
      </c>
      <c r="D13" s="8" t="s">
        <v>37</v>
      </c>
      <c r="E13" s="8" t="s">
        <v>64</v>
      </c>
      <c r="F13" s="8" t="s">
        <v>51</v>
      </c>
      <c r="G13" s="8" t="s">
        <v>52</v>
      </c>
      <c r="H13" s="8" t="s">
        <v>53</v>
      </c>
      <c r="I13" s="8" t="s">
        <v>54</v>
      </c>
      <c r="J13" s="8" t="s">
        <v>95</v>
      </c>
      <c r="K13" s="9" t="s">
        <v>44</v>
      </c>
      <c r="L13" s="9" t="s">
        <v>87</v>
      </c>
      <c r="M13" s="9"/>
      <c r="N13" s="9"/>
      <c r="O13" s="9" t="s">
        <v>44</v>
      </c>
      <c r="P13" s="9" t="s">
        <v>441</v>
      </c>
    </row>
    <row r="14" spans="1:16" ht="45.95" customHeight="1" x14ac:dyDescent="0.25">
      <c r="A14" s="7" t="s">
        <v>96</v>
      </c>
      <c r="B14" s="8" t="s">
        <v>48</v>
      </c>
      <c r="C14" s="8" t="s">
        <v>97</v>
      </c>
      <c r="D14" s="8" t="s">
        <v>37</v>
      </c>
      <c r="E14" s="8" t="s">
        <v>98</v>
      </c>
      <c r="F14" s="8" t="s">
        <v>51</v>
      </c>
      <c r="G14" s="8" t="s">
        <v>52</v>
      </c>
      <c r="H14" s="8" t="s">
        <v>53</v>
      </c>
      <c r="I14" s="8" t="s">
        <v>54</v>
      </c>
      <c r="J14" s="8" t="s">
        <v>99</v>
      </c>
      <c r="K14" s="9" t="s">
        <v>44</v>
      </c>
      <c r="L14" s="9" t="s">
        <v>100</v>
      </c>
      <c r="M14" s="9"/>
      <c r="N14" s="9"/>
      <c r="O14" s="9" t="s">
        <v>66</v>
      </c>
      <c r="P14" s="9" t="s">
        <v>442</v>
      </c>
    </row>
    <row r="15" spans="1:16" ht="23.1" customHeight="1" x14ac:dyDescent="0.25">
      <c r="A15" s="7" t="s">
        <v>101</v>
      </c>
      <c r="B15" s="8" t="s">
        <v>48</v>
      </c>
      <c r="C15" s="8" t="s">
        <v>102</v>
      </c>
      <c r="D15" s="8" t="s">
        <v>37</v>
      </c>
      <c r="E15" s="8" t="s">
        <v>75</v>
      </c>
      <c r="F15" s="8" t="s">
        <v>76</v>
      </c>
      <c r="G15" s="8" t="s">
        <v>52</v>
      </c>
      <c r="H15" s="8" t="s">
        <v>53</v>
      </c>
      <c r="I15" s="8" t="s">
        <v>54</v>
      </c>
      <c r="J15" s="8" t="s">
        <v>103</v>
      </c>
      <c r="K15" s="9" t="s">
        <v>44</v>
      </c>
      <c r="L15" s="9" t="s">
        <v>87</v>
      </c>
      <c r="M15" s="9"/>
      <c r="N15" s="9"/>
      <c r="O15" s="9" t="s">
        <v>44</v>
      </c>
      <c r="P15" s="9" t="s">
        <v>87</v>
      </c>
    </row>
    <row r="16" spans="1:16" ht="23.1" customHeight="1" x14ac:dyDescent="0.25">
      <c r="A16" s="7" t="s">
        <v>104</v>
      </c>
      <c r="B16" s="8" t="s">
        <v>48</v>
      </c>
      <c r="C16" s="8" t="s">
        <v>105</v>
      </c>
      <c r="D16" s="8" t="s">
        <v>37</v>
      </c>
      <c r="E16" s="8" t="s">
        <v>64</v>
      </c>
      <c r="F16" s="8" t="s">
        <v>51</v>
      </c>
      <c r="G16" s="8" t="s">
        <v>52</v>
      </c>
      <c r="H16" s="8" t="s">
        <v>53</v>
      </c>
      <c r="I16" s="8" t="s">
        <v>54</v>
      </c>
      <c r="J16" s="8" t="s">
        <v>106</v>
      </c>
      <c r="K16" s="9" t="s">
        <v>44</v>
      </c>
      <c r="L16" s="9" t="s">
        <v>107</v>
      </c>
      <c r="M16" s="9"/>
      <c r="N16" s="9"/>
      <c r="O16" s="9" t="s">
        <v>66</v>
      </c>
      <c r="P16" s="9" t="s">
        <v>443</v>
      </c>
    </row>
    <row r="17" spans="1:16" ht="34.5" customHeight="1" x14ac:dyDescent="0.25">
      <c r="A17" s="7" t="s">
        <v>108</v>
      </c>
      <c r="B17" s="8" t="s">
        <v>48</v>
      </c>
      <c r="C17" s="8" t="s">
        <v>109</v>
      </c>
      <c r="D17" s="8" t="s">
        <v>37</v>
      </c>
      <c r="E17" s="8" t="s">
        <v>64</v>
      </c>
      <c r="F17" s="8" t="s">
        <v>51</v>
      </c>
      <c r="G17" s="8" t="s">
        <v>52</v>
      </c>
      <c r="H17" s="8" t="s">
        <v>53</v>
      </c>
      <c r="I17" s="8" t="s">
        <v>54</v>
      </c>
      <c r="J17" s="8" t="s">
        <v>110</v>
      </c>
      <c r="K17" s="9" t="s">
        <v>44</v>
      </c>
      <c r="L17" s="9" t="s">
        <v>87</v>
      </c>
      <c r="M17" s="9"/>
      <c r="N17" s="9"/>
      <c r="O17" s="9" t="s">
        <v>44</v>
      </c>
      <c r="P17" s="9" t="s">
        <v>87</v>
      </c>
    </row>
    <row r="18" spans="1:16" ht="45.95" customHeight="1" x14ac:dyDescent="0.25">
      <c r="A18" s="7" t="s">
        <v>111</v>
      </c>
      <c r="B18" s="8" t="s">
        <v>48</v>
      </c>
      <c r="C18" s="8" t="s">
        <v>112</v>
      </c>
      <c r="D18" s="8" t="s">
        <v>37</v>
      </c>
      <c r="E18" s="8" t="s">
        <v>64</v>
      </c>
      <c r="F18" s="8" t="s">
        <v>51</v>
      </c>
      <c r="G18" s="8" t="s">
        <v>52</v>
      </c>
      <c r="H18" s="8" t="s">
        <v>53</v>
      </c>
      <c r="I18" s="8" t="s">
        <v>54</v>
      </c>
      <c r="J18" s="8" t="s">
        <v>113</v>
      </c>
      <c r="K18" s="9" t="s">
        <v>44</v>
      </c>
      <c r="L18" s="9" t="s">
        <v>87</v>
      </c>
      <c r="M18" s="9"/>
      <c r="N18" s="9"/>
      <c r="O18" s="9" t="s">
        <v>44</v>
      </c>
      <c r="P18" s="9" t="s">
        <v>87</v>
      </c>
    </row>
    <row r="19" spans="1:16" ht="34.5" customHeight="1" x14ac:dyDescent="0.25">
      <c r="A19" s="7" t="s">
        <v>114</v>
      </c>
      <c r="B19" s="8" t="s">
        <v>48</v>
      </c>
      <c r="C19" s="8" t="s">
        <v>115</v>
      </c>
      <c r="D19" s="8" t="s">
        <v>37</v>
      </c>
      <c r="E19" s="8" t="s">
        <v>64</v>
      </c>
      <c r="F19" s="8" t="s">
        <v>51</v>
      </c>
      <c r="G19" s="8" t="s">
        <v>52</v>
      </c>
      <c r="H19" s="8" t="s">
        <v>53</v>
      </c>
      <c r="I19" s="8" t="s">
        <v>54</v>
      </c>
      <c r="J19" s="8" t="s">
        <v>116</v>
      </c>
      <c r="K19" s="9" t="s">
        <v>44</v>
      </c>
      <c r="L19" s="9" t="s">
        <v>117</v>
      </c>
      <c r="M19" s="9"/>
      <c r="N19" s="9"/>
      <c r="O19" s="9" t="s">
        <v>44</v>
      </c>
      <c r="P19" s="9" t="s">
        <v>444</v>
      </c>
    </row>
    <row r="20" spans="1:16" ht="34.5" customHeight="1" x14ac:dyDescent="0.25">
      <c r="A20" s="7" t="s">
        <v>118</v>
      </c>
      <c r="B20" s="8" t="s">
        <v>48</v>
      </c>
      <c r="C20" s="8" t="s">
        <v>119</v>
      </c>
      <c r="D20" s="8" t="s">
        <v>37</v>
      </c>
      <c r="E20" s="8" t="s">
        <v>120</v>
      </c>
      <c r="F20" s="8" t="s">
        <v>51</v>
      </c>
      <c r="G20" s="8" t="s">
        <v>52</v>
      </c>
      <c r="H20" s="8" t="s">
        <v>53</v>
      </c>
      <c r="I20" s="8" t="s">
        <v>54</v>
      </c>
      <c r="J20" s="8" t="s">
        <v>121</v>
      </c>
      <c r="K20" s="9" t="s">
        <v>44</v>
      </c>
      <c r="L20" s="9" t="s">
        <v>122</v>
      </c>
      <c r="M20" s="9"/>
      <c r="N20" s="9"/>
      <c r="O20" s="9" t="s">
        <v>44</v>
      </c>
      <c r="P20" s="9" t="s">
        <v>445</v>
      </c>
    </row>
    <row r="21" spans="1:16" ht="23.1" customHeight="1" x14ac:dyDescent="0.25">
      <c r="A21" s="7" t="s">
        <v>123</v>
      </c>
      <c r="B21" s="8" t="s">
        <v>48</v>
      </c>
      <c r="C21" s="8" t="s">
        <v>124</v>
      </c>
      <c r="D21" s="8" t="s">
        <v>37</v>
      </c>
      <c r="E21" s="8" t="s">
        <v>120</v>
      </c>
      <c r="F21" s="8" t="s">
        <v>51</v>
      </c>
      <c r="G21" s="8" t="s">
        <v>52</v>
      </c>
      <c r="H21" s="8" t="s">
        <v>53</v>
      </c>
      <c r="I21" s="8" t="s">
        <v>54</v>
      </c>
      <c r="J21" s="8" t="s">
        <v>125</v>
      </c>
      <c r="K21" s="9" t="s">
        <v>66</v>
      </c>
      <c r="L21" s="9" t="s">
        <v>126</v>
      </c>
      <c r="M21" s="9"/>
      <c r="N21" s="9"/>
      <c r="O21" s="9" t="s">
        <v>66</v>
      </c>
      <c r="P21" s="9" t="s">
        <v>446</v>
      </c>
    </row>
    <row r="22" spans="1:16" ht="23.1" customHeight="1" x14ac:dyDescent="0.25">
      <c r="A22" s="7" t="s">
        <v>127</v>
      </c>
      <c r="B22" s="8" t="s">
        <v>48</v>
      </c>
      <c r="C22" s="8" t="s">
        <v>128</v>
      </c>
      <c r="D22" s="8" t="s">
        <v>37</v>
      </c>
      <c r="E22" s="8" t="s">
        <v>75</v>
      </c>
      <c r="F22" s="8" t="s">
        <v>76</v>
      </c>
      <c r="G22" s="8" t="s">
        <v>52</v>
      </c>
      <c r="H22" s="8" t="s">
        <v>53</v>
      </c>
      <c r="I22" s="8" t="s">
        <v>54</v>
      </c>
      <c r="J22" s="8" t="s">
        <v>129</v>
      </c>
      <c r="K22" s="9" t="s">
        <v>44</v>
      </c>
      <c r="L22" s="9" t="s">
        <v>87</v>
      </c>
      <c r="M22" s="9"/>
      <c r="N22" s="9"/>
      <c r="O22" s="9" t="s">
        <v>44</v>
      </c>
      <c r="P22" s="9" t="s">
        <v>87</v>
      </c>
    </row>
    <row r="23" spans="1:16" ht="23.1" customHeight="1" x14ac:dyDescent="0.25">
      <c r="A23" s="7" t="s">
        <v>130</v>
      </c>
      <c r="B23" s="8" t="s">
        <v>48</v>
      </c>
      <c r="C23" s="8" t="s">
        <v>131</v>
      </c>
      <c r="D23" s="8" t="s">
        <v>37</v>
      </c>
      <c r="E23" s="8" t="s">
        <v>75</v>
      </c>
      <c r="F23" s="8" t="s">
        <v>76</v>
      </c>
      <c r="G23" s="8" t="s">
        <v>52</v>
      </c>
      <c r="H23" s="8" t="s">
        <v>53</v>
      </c>
      <c r="I23" s="8" t="s">
        <v>54</v>
      </c>
      <c r="J23" s="8" t="s">
        <v>132</v>
      </c>
      <c r="K23" s="9" t="s">
        <v>44</v>
      </c>
      <c r="L23" s="9" t="s">
        <v>87</v>
      </c>
      <c r="M23" s="9"/>
      <c r="N23" s="9"/>
      <c r="O23" s="9" t="s">
        <v>44</v>
      </c>
      <c r="P23" s="9" t="s">
        <v>87</v>
      </c>
    </row>
    <row r="24" spans="1:16" ht="23.1" customHeight="1" x14ac:dyDescent="0.25">
      <c r="A24" s="7" t="s">
        <v>133</v>
      </c>
      <c r="B24" s="8" t="s">
        <v>48</v>
      </c>
      <c r="C24" s="8" t="s">
        <v>134</v>
      </c>
      <c r="D24" s="8" t="s">
        <v>37</v>
      </c>
      <c r="E24" s="8" t="s">
        <v>75</v>
      </c>
      <c r="F24" s="8" t="s">
        <v>76</v>
      </c>
      <c r="G24" s="8" t="s">
        <v>52</v>
      </c>
      <c r="H24" s="8" t="s">
        <v>53</v>
      </c>
      <c r="I24" s="8" t="s">
        <v>54</v>
      </c>
      <c r="J24" s="8" t="s">
        <v>135</v>
      </c>
      <c r="K24" s="9" t="s">
        <v>44</v>
      </c>
      <c r="L24" s="9" t="s">
        <v>136</v>
      </c>
      <c r="M24" s="9"/>
      <c r="N24" s="9"/>
      <c r="O24" s="9" t="s">
        <v>44</v>
      </c>
      <c r="P24" s="9" t="s">
        <v>447</v>
      </c>
    </row>
    <row r="25" spans="1:16" ht="80.45" customHeight="1" x14ac:dyDescent="0.25">
      <c r="A25" s="7" t="s">
        <v>137</v>
      </c>
      <c r="B25" s="8" t="s">
        <v>48</v>
      </c>
      <c r="C25" s="8" t="s">
        <v>138</v>
      </c>
      <c r="D25" s="8" t="s">
        <v>37</v>
      </c>
      <c r="E25" s="8" t="s">
        <v>139</v>
      </c>
      <c r="F25" s="8" t="s">
        <v>51</v>
      </c>
      <c r="G25" s="8" t="s">
        <v>52</v>
      </c>
      <c r="H25" s="8" t="s">
        <v>53</v>
      </c>
      <c r="I25" s="8" t="s">
        <v>54</v>
      </c>
      <c r="J25" s="8" t="s">
        <v>140</v>
      </c>
      <c r="K25" s="9" t="s">
        <v>44</v>
      </c>
      <c r="L25" s="9" t="s">
        <v>141</v>
      </c>
      <c r="M25" s="9"/>
      <c r="N25" s="9"/>
      <c r="O25" s="9" t="s">
        <v>44</v>
      </c>
      <c r="P25" s="9" t="s">
        <v>448</v>
      </c>
    </row>
    <row r="26" spans="1:16" x14ac:dyDescent="0.25">
      <c r="A26" s="22" t="s">
        <v>142</v>
      </c>
      <c r="B26" s="23"/>
      <c r="C26" s="23"/>
      <c r="D26" s="23"/>
      <c r="E26" s="23"/>
      <c r="F26" s="23"/>
      <c r="G26" s="23"/>
      <c r="H26" s="23"/>
      <c r="I26" s="23"/>
      <c r="J26" s="23"/>
      <c r="K26" s="6"/>
      <c r="L26" s="6"/>
      <c r="M26" s="6"/>
      <c r="N26" s="6"/>
      <c r="O26" s="6"/>
      <c r="P26" s="6"/>
    </row>
    <row r="27" spans="1:16" ht="23.1" customHeight="1" x14ac:dyDescent="0.25">
      <c r="A27" s="7" t="s">
        <v>143</v>
      </c>
      <c r="B27" s="8" t="s">
        <v>144</v>
      </c>
      <c r="C27" s="8" t="s">
        <v>145</v>
      </c>
      <c r="D27" s="8" t="s">
        <v>146</v>
      </c>
      <c r="E27" s="8" t="s">
        <v>147</v>
      </c>
      <c r="F27" s="8" t="s">
        <v>148</v>
      </c>
      <c r="G27" s="8" t="s">
        <v>40</v>
      </c>
      <c r="H27" s="8" t="s">
        <v>149</v>
      </c>
      <c r="I27" s="8" t="s">
        <v>54</v>
      </c>
      <c r="J27" s="8" t="s">
        <v>150</v>
      </c>
      <c r="K27" s="9" t="s">
        <v>44</v>
      </c>
      <c r="L27" s="9" t="s">
        <v>151</v>
      </c>
      <c r="M27" s="9"/>
      <c r="N27" s="9"/>
      <c r="O27" s="9" t="s">
        <v>44</v>
      </c>
      <c r="P27" s="9" t="s">
        <v>449</v>
      </c>
    </row>
    <row r="28" spans="1:16" ht="23.1" customHeight="1" x14ac:dyDescent="0.25">
      <c r="A28" s="7" t="s">
        <v>152</v>
      </c>
      <c r="B28" s="8" t="s">
        <v>153</v>
      </c>
      <c r="C28" s="8" t="s">
        <v>154</v>
      </c>
      <c r="D28" s="8" t="s">
        <v>155</v>
      </c>
      <c r="E28" s="8" t="s">
        <v>156</v>
      </c>
      <c r="F28" s="8" t="s">
        <v>157</v>
      </c>
      <c r="G28" s="8" t="s">
        <v>52</v>
      </c>
      <c r="H28" s="8" t="s">
        <v>158</v>
      </c>
      <c r="I28" s="8" t="s">
        <v>54</v>
      </c>
      <c r="J28" s="8" t="s">
        <v>159</v>
      </c>
      <c r="K28" s="9" t="s">
        <v>66</v>
      </c>
      <c r="L28" s="9" t="s">
        <v>160</v>
      </c>
      <c r="M28" s="9"/>
      <c r="N28" s="9"/>
      <c r="O28" s="9" t="s">
        <v>66</v>
      </c>
      <c r="P28" s="9" t="s">
        <v>450</v>
      </c>
    </row>
    <row r="29" spans="1:16" ht="34.5" customHeight="1" x14ac:dyDescent="0.25">
      <c r="A29" s="7" t="s">
        <v>161</v>
      </c>
      <c r="B29" s="8" t="s">
        <v>153</v>
      </c>
      <c r="C29" s="8" t="s">
        <v>162</v>
      </c>
      <c r="D29" s="8" t="s">
        <v>163</v>
      </c>
      <c r="E29" s="8" t="s">
        <v>156</v>
      </c>
      <c r="F29" s="8" t="s">
        <v>157</v>
      </c>
      <c r="G29" s="8" t="s">
        <v>52</v>
      </c>
      <c r="H29" s="8" t="s">
        <v>158</v>
      </c>
      <c r="I29" s="8" t="s">
        <v>54</v>
      </c>
      <c r="J29" s="8" t="s">
        <v>164</v>
      </c>
      <c r="K29" s="9" t="s">
        <v>66</v>
      </c>
      <c r="L29" s="9" t="s">
        <v>165</v>
      </c>
      <c r="M29" s="9"/>
      <c r="N29" s="9"/>
      <c r="O29" s="9" t="s">
        <v>66</v>
      </c>
      <c r="P29" s="9" t="s">
        <v>451</v>
      </c>
    </row>
    <row r="30" spans="1:16" ht="23.1" customHeight="1" x14ac:dyDescent="0.25">
      <c r="A30" s="7" t="s">
        <v>166</v>
      </c>
      <c r="B30" s="8" t="s">
        <v>167</v>
      </c>
      <c r="C30" s="8" t="s">
        <v>168</v>
      </c>
      <c r="D30" s="8" t="s">
        <v>146</v>
      </c>
      <c r="E30" s="8" t="s">
        <v>169</v>
      </c>
      <c r="F30" s="8" t="s">
        <v>44</v>
      </c>
      <c r="G30" s="8" t="s">
        <v>40</v>
      </c>
      <c r="H30" s="8" t="s">
        <v>149</v>
      </c>
      <c r="I30" s="8" t="s">
        <v>170</v>
      </c>
      <c r="J30" s="8" t="s">
        <v>171</v>
      </c>
      <c r="K30" s="9" t="s">
        <v>44</v>
      </c>
      <c r="L30" s="9" t="s">
        <v>172</v>
      </c>
      <c r="M30" s="9"/>
      <c r="N30" s="9"/>
      <c r="O30" s="9" t="s">
        <v>44</v>
      </c>
      <c r="P30" s="9" t="s">
        <v>452</v>
      </c>
    </row>
    <row r="31" spans="1:16" x14ac:dyDescent="0.25">
      <c r="A31" s="22" t="s">
        <v>173</v>
      </c>
      <c r="B31" s="23"/>
      <c r="C31" s="23"/>
      <c r="D31" s="23"/>
      <c r="E31" s="23"/>
      <c r="F31" s="23"/>
      <c r="G31" s="23"/>
      <c r="H31" s="23"/>
      <c r="I31" s="23"/>
      <c r="J31" s="23"/>
      <c r="K31" s="6"/>
      <c r="L31" s="6"/>
      <c r="M31" s="6"/>
      <c r="N31" s="6"/>
      <c r="O31" s="6"/>
      <c r="P31" s="6"/>
    </row>
    <row r="32" spans="1:16" ht="23.1" customHeight="1" x14ac:dyDescent="0.25">
      <c r="A32" s="7" t="s">
        <v>174</v>
      </c>
      <c r="B32" s="8" t="s">
        <v>175</v>
      </c>
      <c r="C32" s="8" t="s">
        <v>176</v>
      </c>
      <c r="D32" s="8" t="s">
        <v>163</v>
      </c>
      <c r="E32" s="8" t="s">
        <v>177</v>
      </c>
      <c r="F32" s="8" t="s">
        <v>178</v>
      </c>
      <c r="G32" s="8" t="s">
        <v>40</v>
      </c>
      <c r="H32" s="8" t="s">
        <v>158</v>
      </c>
      <c r="I32" s="8" t="s">
        <v>179</v>
      </c>
      <c r="J32" s="8" t="s">
        <v>180</v>
      </c>
      <c r="K32" s="9" t="s">
        <v>66</v>
      </c>
      <c r="L32" s="9" t="s">
        <v>181</v>
      </c>
      <c r="M32" s="9"/>
      <c r="N32" s="9"/>
      <c r="O32" s="9" t="s">
        <v>66</v>
      </c>
      <c r="P32" s="9" t="s">
        <v>453</v>
      </c>
    </row>
    <row r="33" spans="1:16" ht="36" x14ac:dyDescent="0.25">
      <c r="A33" s="7" t="s">
        <v>182</v>
      </c>
      <c r="B33" s="8" t="s">
        <v>175</v>
      </c>
      <c r="C33" s="8" t="s">
        <v>183</v>
      </c>
      <c r="D33" s="8" t="s">
        <v>163</v>
      </c>
      <c r="E33" s="8" t="s">
        <v>184</v>
      </c>
      <c r="F33" s="8" t="s">
        <v>178</v>
      </c>
      <c r="G33" s="8" t="s">
        <v>40</v>
      </c>
      <c r="H33" s="8" t="s">
        <v>158</v>
      </c>
      <c r="I33" s="8" t="s">
        <v>179</v>
      </c>
      <c r="J33" s="8" t="s">
        <v>185</v>
      </c>
      <c r="K33" s="9" t="s">
        <v>66</v>
      </c>
      <c r="L33" s="9" t="s">
        <v>186</v>
      </c>
      <c r="M33" s="9"/>
      <c r="N33" s="9"/>
      <c r="O33" s="9" t="s">
        <v>66</v>
      </c>
      <c r="P33" s="9" t="s">
        <v>454</v>
      </c>
    </row>
    <row r="34" spans="1:16" ht="24" x14ac:dyDescent="0.25">
      <c r="A34" s="7" t="s">
        <v>187</v>
      </c>
      <c r="B34" s="8" t="s">
        <v>175</v>
      </c>
      <c r="C34" s="8" t="s">
        <v>188</v>
      </c>
      <c r="D34" s="8" t="s">
        <v>163</v>
      </c>
      <c r="E34" s="8" t="s">
        <v>184</v>
      </c>
      <c r="F34" s="8" t="s">
        <v>178</v>
      </c>
      <c r="G34" s="8" t="s">
        <v>40</v>
      </c>
      <c r="H34" s="8" t="s">
        <v>158</v>
      </c>
      <c r="I34" s="8" t="s">
        <v>179</v>
      </c>
      <c r="J34" s="8" t="s">
        <v>189</v>
      </c>
      <c r="K34" s="9" t="s">
        <v>66</v>
      </c>
      <c r="L34" s="9" t="s">
        <v>190</v>
      </c>
      <c r="M34" s="9"/>
      <c r="N34" s="9"/>
      <c r="O34" s="9" t="s">
        <v>66</v>
      </c>
      <c r="P34" s="9" t="s">
        <v>454</v>
      </c>
    </row>
    <row r="35" spans="1:16" x14ac:dyDescent="0.25">
      <c r="A35" s="22" t="s">
        <v>191</v>
      </c>
      <c r="B35" s="23"/>
      <c r="C35" s="23"/>
      <c r="D35" s="23"/>
      <c r="E35" s="23"/>
      <c r="F35" s="23"/>
      <c r="G35" s="23"/>
      <c r="H35" s="23"/>
      <c r="I35" s="23"/>
      <c r="J35" s="23"/>
      <c r="K35" s="6"/>
      <c r="L35" s="6"/>
      <c r="M35" s="6"/>
      <c r="N35" s="6"/>
      <c r="O35" s="6"/>
      <c r="P35" s="6"/>
    </row>
    <row r="36" spans="1:16" ht="23.1" customHeight="1" x14ac:dyDescent="0.25">
      <c r="A36" s="7" t="s">
        <v>192</v>
      </c>
      <c r="B36" s="8" t="s">
        <v>193</v>
      </c>
      <c r="C36" s="8" t="s">
        <v>194</v>
      </c>
      <c r="D36" s="8" t="s">
        <v>37</v>
      </c>
      <c r="E36" s="8" t="s">
        <v>169</v>
      </c>
      <c r="F36" s="8" t="s">
        <v>44</v>
      </c>
      <c r="G36" s="8" t="s">
        <v>40</v>
      </c>
      <c r="H36" s="8" t="s">
        <v>195</v>
      </c>
      <c r="I36" s="8" t="s">
        <v>196</v>
      </c>
      <c r="J36" s="8" t="s">
        <v>197</v>
      </c>
      <c r="K36" s="9" t="s">
        <v>44</v>
      </c>
      <c r="L36" s="9" t="s">
        <v>198</v>
      </c>
      <c r="M36" s="9"/>
      <c r="N36" s="9"/>
      <c r="O36" s="9" t="s">
        <v>44</v>
      </c>
      <c r="P36" s="9"/>
    </row>
    <row r="37" spans="1:16" ht="23.1" customHeight="1" x14ac:dyDescent="0.25">
      <c r="A37" s="7" t="s">
        <v>199</v>
      </c>
      <c r="B37" s="8" t="s">
        <v>193</v>
      </c>
      <c r="C37" s="8" t="s">
        <v>200</v>
      </c>
      <c r="D37" s="8" t="s">
        <v>37</v>
      </c>
      <c r="E37" s="8" t="s">
        <v>201</v>
      </c>
      <c r="F37" s="8" t="s">
        <v>202</v>
      </c>
      <c r="G37" s="8" t="s">
        <v>52</v>
      </c>
      <c r="H37" s="8" t="s">
        <v>195</v>
      </c>
      <c r="I37" s="8" t="s">
        <v>196</v>
      </c>
      <c r="J37" s="8" t="s">
        <v>203</v>
      </c>
      <c r="K37" s="9" t="s">
        <v>44</v>
      </c>
      <c r="L37" s="9" t="s">
        <v>87</v>
      </c>
      <c r="M37" s="9"/>
      <c r="N37" s="9"/>
      <c r="O37" s="9" t="s">
        <v>44</v>
      </c>
      <c r="P37" s="9"/>
    </row>
    <row r="38" spans="1:16" ht="23.1" customHeight="1" x14ac:dyDescent="0.25">
      <c r="A38" s="7" t="s">
        <v>204</v>
      </c>
      <c r="B38" s="8" t="s">
        <v>193</v>
      </c>
      <c r="C38" s="8" t="s">
        <v>205</v>
      </c>
      <c r="D38" s="8" t="s">
        <v>37</v>
      </c>
      <c r="E38" s="8" t="s">
        <v>201</v>
      </c>
      <c r="F38" s="8" t="s">
        <v>202</v>
      </c>
      <c r="G38" s="8" t="s">
        <v>52</v>
      </c>
      <c r="H38" s="8" t="s">
        <v>195</v>
      </c>
      <c r="I38" s="8" t="s">
        <v>196</v>
      </c>
      <c r="J38" s="8" t="s">
        <v>206</v>
      </c>
      <c r="K38" s="9" t="s">
        <v>44</v>
      </c>
      <c r="L38" s="9" t="s">
        <v>87</v>
      </c>
      <c r="M38" s="9"/>
      <c r="N38" s="9"/>
      <c r="O38" s="9" t="s">
        <v>44</v>
      </c>
      <c r="P38" s="9"/>
    </row>
    <row r="39" spans="1:16" ht="23.1" customHeight="1" x14ac:dyDescent="0.25">
      <c r="A39" s="7" t="s">
        <v>207</v>
      </c>
      <c r="B39" s="8" t="s">
        <v>193</v>
      </c>
      <c r="C39" s="8" t="s">
        <v>208</v>
      </c>
      <c r="D39" s="8" t="s">
        <v>37</v>
      </c>
      <c r="E39" s="8" t="s">
        <v>209</v>
      </c>
      <c r="F39" s="8" t="s">
        <v>210</v>
      </c>
      <c r="G39" s="8" t="s">
        <v>40</v>
      </c>
      <c r="H39" s="8" t="s">
        <v>195</v>
      </c>
      <c r="I39" s="8" t="s">
        <v>211</v>
      </c>
      <c r="J39" s="8" t="s">
        <v>212</v>
      </c>
      <c r="K39" s="9" t="s">
        <v>44</v>
      </c>
      <c r="L39" s="9" t="s">
        <v>213</v>
      </c>
      <c r="M39" s="9"/>
      <c r="N39" s="9"/>
      <c r="O39" s="9" t="s">
        <v>44</v>
      </c>
      <c r="P39" s="9"/>
    </row>
    <row r="40" spans="1:16" ht="23.1" customHeight="1" x14ac:dyDescent="0.25">
      <c r="A40" s="7" t="s">
        <v>214</v>
      </c>
      <c r="B40" s="8" t="s">
        <v>193</v>
      </c>
      <c r="C40" s="8" t="s">
        <v>215</v>
      </c>
      <c r="D40" s="8" t="s">
        <v>37</v>
      </c>
      <c r="E40" s="8" t="s">
        <v>216</v>
      </c>
      <c r="F40" s="8" t="s">
        <v>217</v>
      </c>
      <c r="G40" s="8" t="s">
        <v>40</v>
      </c>
      <c r="H40" s="8" t="s">
        <v>195</v>
      </c>
      <c r="I40" s="8" t="s">
        <v>211</v>
      </c>
      <c r="J40" s="8" t="s">
        <v>218</v>
      </c>
      <c r="K40" s="9" t="s">
        <v>44</v>
      </c>
      <c r="L40" s="9" t="s">
        <v>219</v>
      </c>
      <c r="M40" s="9"/>
      <c r="N40" s="9"/>
      <c r="O40" s="9" t="s">
        <v>44</v>
      </c>
      <c r="P40" s="9"/>
    </row>
    <row r="41" spans="1:16" ht="23.1" customHeight="1" x14ac:dyDescent="0.25">
      <c r="A41" s="7" t="s">
        <v>220</v>
      </c>
      <c r="B41" s="8" t="s">
        <v>193</v>
      </c>
      <c r="C41" s="8" t="s">
        <v>221</v>
      </c>
      <c r="D41" s="8" t="s">
        <v>37</v>
      </c>
      <c r="E41" s="8" t="s">
        <v>216</v>
      </c>
      <c r="F41" s="8" t="s">
        <v>217</v>
      </c>
      <c r="G41" s="8" t="s">
        <v>40</v>
      </c>
      <c r="H41" s="8" t="s">
        <v>195</v>
      </c>
      <c r="I41" s="8" t="s">
        <v>211</v>
      </c>
      <c r="J41" s="8" t="s">
        <v>222</v>
      </c>
      <c r="K41" s="9" t="s">
        <v>44</v>
      </c>
      <c r="L41" s="9" t="s">
        <v>219</v>
      </c>
      <c r="M41" s="9"/>
      <c r="N41" s="9"/>
      <c r="O41" s="9" t="s">
        <v>44</v>
      </c>
      <c r="P41" s="9"/>
    </row>
    <row r="42" spans="1:16" x14ac:dyDescent="0.25">
      <c r="A42" s="22" t="s">
        <v>223</v>
      </c>
      <c r="B42" s="23"/>
      <c r="C42" s="23"/>
      <c r="D42" s="23"/>
      <c r="E42" s="23"/>
      <c r="F42" s="23"/>
      <c r="G42" s="23"/>
      <c r="H42" s="23"/>
      <c r="I42" s="23"/>
      <c r="J42" s="23"/>
      <c r="K42" s="6"/>
      <c r="L42" s="6"/>
      <c r="M42" s="6"/>
      <c r="N42" s="6"/>
      <c r="O42" s="6"/>
      <c r="P42" s="6"/>
    </row>
    <row r="43" spans="1:16" ht="23.1" customHeight="1" x14ac:dyDescent="0.25">
      <c r="A43" s="7" t="s">
        <v>224</v>
      </c>
      <c r="B43" s="8" t="s">
        <v>225</v>
      </c>
      <c r="C43" s="8" t="s">
        <v>226</v>
      </c>
      <c r="D43" s="8" t="s">
        <v>146</v>
      </c>
      <c r="E43" s="8" t="s">
        <v>227</v>
      </c>
      <c r="F43" s="8" t="s">
        <v>228</v>
      </c>
      <c r="G43" s="8" t="s">
        <v>52</v>
      </c>
      <c r="H43" s="8" t="s">
        <v>149</v>
      </c>
      <c r="I43" s="8" t="s">
        <v>229</v>
      </c>
      <c r="J43" s="8" t="s">
        <v>230</v>
      </c>
      <c r="K43" s="9" t="s">
        <v>44</v>
      </c>
      <c r="L43" s="9" t="s">
        <v>231</v>
      </c>
      <c r="M43" s="9"/>
      <c r="N43" s="9"/>
      <c r="O43" s="9" t="s">
        <v>44</v>
      </c>
      <c r="P43" s="9"/>
    </row>
    <row r="44" spans="1:16" ht="23.1" customHeight="1" x14ac:dyDescent="0.25">
      <c r="A44" s="7" t="s">
        <v>232</v>
      </c>
      <c r="B44" s="8" t="s">
        <v>225</v>
      </c>
      <c r="C44" s="8" t="s">
        <v>233</v>
      </c>
      <c r="D44" s="8" t="s">
        <v>146</v>
      </c>
      <c r="E44" s="8" t="s">
        <v>234</v>
      </c>
      <c r="F44" s="8" t="s">
        <v>228</v>
      </c>
      <c r="G44" s="8" t="s">
        <v>52</v>
      </c>
      <c r="H44" s="8" t="s">
        <v>149</v>
      </c>
      <c r="I44" s="8" t="s">
        <v>229</v>
      </c>
      <c r="J44" s="8" t="s">
        <v>230</v>
      </c>
      <c r="K44" s="9" t="s">
        <v>44</v>
      </c>
      <c r="L44" s="9" t="s">
        <v>235</v>
      </c>
      <c r="M44" s="9"/>
      <c r="N44" s="9"/>
      <c r="O44" s="9" t="s">
        <v>44</v>
      </c>
      <c r="P44" s="9"/>
    </row>
    <row r="45" spans="1:16" ht="23.1" customHeight="1" x14ac:dyDescent="0.25">
      <c r="A45" s="7" t="s">
        <v>236</v>
      </c>
      <c r="B45" s="8" t="s">
        <v>225</v>
      </c>
      <c r="C45" s="8" t="s">
        <v>237</v>
      </c>
      <c r="D45" s="8" t="s">
        <v>146</v>
      </c>
      <c r="E45" s="8" t="s">
        <v>238</v>
      </c>
      <c r="F45" s="8" t="s">
        <v>228</v>
      </c>
      <c r="G45" s="8" t="s">
        <v>52</v>
      </c>
      <c r="H45" s="8" t="s">
        <v>149</v>
      </c>
      <c r="I45" s="8" t="s">
        <v>229</v>
      </c>
      <c r="J45" s="8" t="s">
        <v>230</v>
      </c>
      <c r="K45" s="9" t="s">
        <v>44</v>
      </c>
      <c r="L45" s="9" t="s">
        <v>235</v>
      </c>
      <c r="M45" s="9"/>
      <c r="N45" s="9"/>
      <c r="O45" s="9" t="s">
        <v>44</v>
      </c>
      <c r="P45" s="9"/>
    </row>
    <row r="46" spans="1:16" ht="57.6" customHeight="1" x14ac:dyDescent="0.25">
      <c r="A46" s="7" t="s">
        <v>239</v>
      </c>
      <c r="B46" s="8" t="s">
        <v>225</v>
      </c>
      <c r="C46" s="8" t="s">
        <v>240</v>
      </c>
      <c r="D46" s="8" t="s">
        <v>146</v>
      </c>
      <c r="E46" s="8" t="s">
        <v>241</v>
      </c>
      <c r="F46" s="8" t="s">
        <v>228</v>
      </c>
      <c r="G46" s="8" t="s">
        <v>242</v>
      </c>
      <c r="H46" s="8" t="s">
        <v>149</v>
      </c>
      <c r="I46" s="8" t="s">
        <v>229</v>
      </c>
      <c r="J46" s="8" t="s">
        <v>230</v>
      </c>
      <c r="K46" s="9" t="s">
        <v>44</v>
      </c>
      <c r="L46" s="9" t="s">
        <v>243</v>
      </c>
      <c r="M46" s="9"/>
      <c r="N46" s="9"/>
      <c r="O46" s="9" t="s">
        <v>44</v>
      </c>
      <c r="P46" s="9" t="s">
        <v>455</v>
      </c>
    </row>
    <row r="47" spans="1:16" ht="23.1" customHeight="1" x14ac:dyDescent="0.25">
      <c r="A47" s="7" t="s">
        <v>244</v>
      </c>
      <c r="B47" s="8" t="s">
        <v>225</v>
      </c>
      <c r="C47" s="8" t="s">
        <v>245</v>
      </c>
      <c r="D47" s="8" t="s">
        <v>146</v>
      </c>
      <c r="E47" s="8" t="s">
        <v>246</v>
      </c>
      <c r="F47" s="8" t="s">
        <v>228</v>
      </c>
      <c r="G47" s="8" t="s">
        <v>52</v>
      </c>
      <c r="H47" s="8" t="s">
        <v>149</v>
      </c>
      <c r="I47" s="8" t="s">
        <v>229</v>
      </c>
      <c r="J47" s="8" t="s">
        <v>230</v>
      </c>
      <c r="K47" s="9" t="s">
        <v>44</v>
      </c>
      <c r="L47" s="9" t="s">
        <v>235</v>
      </c>
      <c r="M47" s="9"/>
      <c r="N47" s="9"/>
      <c r="O47" s="9" t="s">
        <v>44</v>
      </c>
      <c r="P47" s="9"/>
    </row>
    <row r="48" spans="1:16" ht="23.1" customHeight="1" x14ac:dyDescent="0.25">
      <c r="A48" s="7" t="s">
        <v>247</v>
      </c>
      <c r="B48" s="8" t="s">
        <v>225</v>
      </c>
      <c r="C48" s="8" t="s">
        <v>248</v>
      </c>
      <c r="D48" s="8" t="s">
        <v>146</v>
      </c>
      <c r="E48" s="8" t="s">
        <v>249</v>
      </c>
      <c r="F48" s="8" t="s">
        <v>228</v>
      </c>
      <c r="G48" s="8" t="s">
        <v>52</v>
      </c>
      <c r="H48" s="8" t="s">
        <v>149</v>
      </c>
      <c r="I48" s="8" t="s">
        <v>229</v>
      </c>
      <c r="J48" s="8" t="s">
        <v>230</v>
      </c>
      <c r="K48" s="9" t="s">
        <v>44</v>
      </c>
      <c r="L48" s="9" t="s">
        <v>235</v>
      </c>
      <c r="M48" s="9"/>
      <c r="N48" s="9"/>
      <c r="O48" s="9" t="s">
        <v>44</v>
      </c>
      <c r="P48" s="9"/>
    </row>
    <row r="49" spans="1:16" ht="23.1" customHeight="1" x14ac:dyDescent="0.25">
      <c r="A49" s="7" t="s">
        <v>250</v>
      </c>
      <c r="B49" s="8" t="s">
        <v>225</v>
      </c>
      <c r="C49" s="8" t="s">
        <v>251</v>
      </c>
      <c r="D49" s="8" t="s">
        <v>146</v>
      </c>
      <c r="E49" s="8" t="s">
        <v>252</v>
      </c>
      <c r="F49" s="8" t="s">
        <v>228</v>
      </c>
      <c r="G49" s="8" t="s">
        <v>52</v>
      </c>
      <c r="H49" s="8" t="s">
        <v>149</v>
      </c>
      <c r="I49" s="8" t="s">
        <v>229</v>
      </c>
      <c r="J49" s="8" t="s">
        <v>230</v>
      </c>
      <c r="K49" s="9" t="s">
        <v>44</v>
      </c>
      <c r="L49" s="9" t="s">
        <v>235</v>
      </c>
      <c r="M49" s="9"/>
      <c r="N49" s="9"/>
      <c r="O49" s="9" t="s">
        <v>44</v>
      </c>
      <c r="P49" s="9"/>
    </row>
    <row r="50" spans="1:16" ht="23.1" customHeight="1" x14ac:dyDescent="0.25">
      <c r="A50" s="7" t="s">
        <v>253</v>
      </c>
      <c r="B50" s="8" t="s">
        <v>225</v>
      </c>
      <c r="C50" s="8" t="s">
        <v>254</v>
      </c>
      <c r="D50" s="8" t="s">
        <v>146</v>
      </c>
      <c r="E50" s="8" t="s">
        <v>255</v>
      </c>
      <c r="F50" s="8" t="s">
        <v>228</v>
      </c>
      <c r="G50" s="8" t="s">
        <v>52</v>
      </c>
      <c r="H50" s="8" t="s">
        <v>149</v>
      </c>
      <c r="I50" s="8" t="s">
        <v>229</v>
      </c>
      <c r="J50" s="8" t="s">
        <v>256</v>
      </c>
      <c r="K50" s="9" t="s">
        <v>44</v>
      </c>
      <c r="L50" s="9" t="s">
        <v>257</v>
      </c>
      <c r="M50" s="9"/>
      <c r="N50" s="9"/>
      <c r="O50" s="9" t="s">
        <v>44</v>
      </c>
      <c r="P50" s="9" t="s">
        <v>456</v>
      </c>
    </row>
    <row r="51" spans="1:16" ht="24" x14ac:dyDescent="0.25">
      <c r="A51" s="7" t="s">
        <v>258</v>
      </c>
      <c r="B51" s="8" t="s">
        <v>225</v>
      </c>
      <c r="C51" s="8" t="s">
        <v>259</v>
      </c>
      <c r="D51" s="8" t="s">
        <v>146</v>
      </c>
      <c r="E51" s="8" t="s">
        <v>260</v>
      </c>
      <c r="F51" s="8" t="s">
        <v>228</v>
      </c>
      <c r="G51" s="8" t="s">
        <v>52</v>
      </c>
      <c r="H51" s="8" t="s">
        <v>149</v>
      </c>
      <c r="I51" s="8" t="s">
        <v>229</v>
      </c>
      <c r="J51" s="8" t="s">
        <v>256</v>
      </c>
      <c r="K51" s="9" t="s">
        <v>44</v>
      </c>
      <c r="L51" s="9" t="s">
        <v>261</v>
      </c>
      <c r="M51" s="9"/>
      <c r="N51" s="9"/>
      <c r="O51" s="9" t="s">
        <v>44</v>
      </c>
      <c r="P51" s="9" t="s">
        <v>261</v>
      </c>
    </row>
    <row r="52" spans="1:16" x14ac:dyDescent="0.25">
      <c r="A52" s="22" t="s">
        <v>262</v>
      </c>
      <c r="B52" s="23"/>
      <c r="C52" s="23"/>
      <c r="D52" s="23"/>
      <c r="E52" s="23"/>
      <c r="F52" s="23"/>
      <c r="G52" s="23"/>
      <c r="H52" s="23"/>
      <c r="I52" s="23"/>
      <c r="J52" s="23"/>
      <c r="K52" s="6"/>
      <c r="L52" s="6"/>
      <c r="M52" s="6"/>
      <c r="N52" s="6"/>
      <c r="O52" s="6"/>
      <c r="P52" s="6"/>
    </row>
    <row r="53" spans="1:16" ht="23.1" customHeight="1" x14ac:dyDescent="0.25">
      <c r="A53" s="7" t="s">
        <v>263</v>
      </c>
      <c r="B53" s="8" t="s">
        <v>264</v>
      </c>
      <c r="C53" s="8" t="s">
        <v>265</v>
      </c>
      <c r="D53" s="8" t="s">
        <v>266</v>
      </c>
      <c r="E53" s="8" t="s">
        <v>267</v>
      </c>
      <c r="F53" s="8" t="s">
        <v>268</v>
      </c>
      <c r="G53" s="8" t="s">
        <v>269</v>
      </c>
      <c r="H53" s="8" t="s">
        <v>270</v>
      </c>
      <c r="I53" s="8" t="s">
        <v>271</v>
      </c>
      <c r="J53" s="8" t="s">
        <v>272</v>
      </c>
      <c r="K53" s="9" t="s">
        <v>44</v>
      </c>
      <c r="L53" s="9" t="s">
        <v>273</v>
      </c>
      <c r="M53" s="9"/>
      <c r="N53" s="9"/>
      <c r="O53" s="9" t="s">
        <v>66</v>
      </c>
      <c r="P53" s="9" t="s">
        <v>457</v>
      </c>
    </row>
    <row r="54" spans="1:16" x14ac:dyDescent="0.25">
      <c r="A54" s="7" t="s">
        <v>274</v>
      </c>
      <c r="B54" s="8" t="s">
        <v>275</v>
      </c>
      <c r="C54" s="8" t="s">
        <v>276</v>
      </c>
      <c r="D54" s="8" t="s">
        <v>37</v>
      </c>
      <c r="E54" s="8" t="s">
        <v>277</v>
      </c>
      <c r="F54" s="8" t="s">
        <v>278</v>
      </c>
      <c r="G54" s="8" t="s">
        <v>269</v>
      </c>
      <c r="H54" s="8" t="s">
        <v>270</v>
      </c>
      <c r="I54" s="8" t="s">
        <v>279</v>
      </c>
      <c r="J54" s="8" t="s">
        <v>280</v>
      </c>
      <c r="K54" s="9" t="s">
        <v>44</v>
      </c>
      <c r="L54" s="9" t="s">
        <v>87</v>
      </c>
      <c r="M54" s="9"/>
      <c r="N54" s="9"/>
      <c r="O54" s="9" t="s">
        <v>44</v>
      </c>
      <c r="P54" s="9" t="s">
        <v>87</v>
      </c>
    </row>
    <row r="55" spans="1:16" x14ac:dyDescent="0.25">
      <c r="A55" s="22" t="s">
        <v>281</v>
      </c>
      <c r="B55" s="23"/>
      <c r="C55" s="23"/>
      <c r="D55" s="23"/>
      <c r="E55" s="23"/>
      <c r="F55" s="23"/>
      <c r="G55" s="23"/>
      <c r="H55" s="23"/>
      <c r="I55" s="23"/>
      <c r="J55" s="23"/>
      <c r="K55" s="6"/>
      <c r="L55" s="6"/>
      <c r="M55" s="6"/>
      <c r="N55" s="6"/>
      <c r="O55" s="6"/>
      <c r="P55" s="6"/>
    </row>
    <row r="56" spans="1:16" ht="23.1" customHeight="1" x14ac:dyDescent="0.25">
      <c r="A56" s="7" t="s">
        <v>282</v>
      </c>
      <c r="B56" s="8" t="s">
        <v>283</v>
      </c>
      <c r="C56" s="8" t="s">
        <v>284</v>
      </c>
      <c r="D56" s="8" t="s">
        <v>37</v>
      </c>
      <c r="E56" s="8" t="s">
        <v>201</v>
      </c>
      <c r="F56" s="8" t="s">
        <v>202</v>
      </c>
      <c r="G56" s="8" t="s">
        <v>40</v>
      </c>
      <c r="H56" s="8" t="s">
        <v>270</v>
      </c>
      <c r="I56" s="8" t="s">
        <v>285</v>
      </c>
      <c r="J56" s="8" t="s">
        <v>286</v>
      </c>
      <c r="K56" s="9" t="s">
        <v>44</v>
      </c>
      <c r="L56" s="9" t="s">
        <v>287</v>
      </c>
      <c r="M56" s="9"/>
      <c r="N56" s="9"/>
      <c r="O56" s="9" t="s">
        <v>44</v>
      </c>
      <c r="P56" s="9"/>
    </row>
    <row r="57" spans="1:16" ht="23.1" customHeight="1" x14ac:dyDescent="0.25">
      <c r="A57" s="7" t="s">
        <v>288</v>
      </c>
      <c r="B57" s="8" t="s">
        <v>285</v>
      </c>
      <c r="C57" s="8" t="s">
        <v>289</v>
      </c>
      <c r="D57" s="8" t="s">
        <v>37</v>
      </c>
      <c r="E57" s="8" t="s">
        <v>290</v>
      </c>
      <c r="F57" s="8" t="s">
        <v>291</v>
      </c>
      <c r="G57" s="8" t="s">
        <v>40</v>
      </c>
      <c r="H57" s="8" t="s">
        <v>270</v>
      </c>
      <c r="I57" s="8" t="s">
        <v>285</v>
      </c>
      <c r="J57" s="8" t="s">
        <v>292</v>
      </c>
      <c r="K57" s="9" t="s">
        <v>44</v>
      </c>
      <c r="L57" s="9" t="s">
        <v>293</v>
      </c>
      <c r="M57" s="9"/>
      <c r="N57" s="9"/>
      <c r="O57" s="9" t="s">
        <v>44</v>
      </c>
      <c r="P57" s="9" t="s">
        <v>458</v>
      </c>
    </row>
    <row r="58" spans="1:16" ht="23.1" customHeight="1" x14ac:dyDescent="0.25">
      <c r="A58" s="7" t="s">
        <v>294</v>
      </c>
      <c r="B58" s="8" t="s">
        <v>285</v>
      </c>
      <c r="C58" s="8" t="s">
        <v>295</v>
      </c>
      <c r="D58" s="8" t="s">
        <v>37</v>
      </c>
      <c r="E58" s="8" t="s">
        <v>290</v>
      </c>
      <c r="F58" s="8" t="s">
        <v>291</v>
      </c>
      <c r="G58" s="8" t="s">
        <v>40</v>
      </c>
      <c r="H58" s="8" t="s">
        <v>149</v>
      </c>
      <c r="I58" s="8" t="s">
        <v>285</v>
      </c>
      <c r="J58" s="8" t="s">
        <v>296</v>
      </c>
      <c r="K58" s="9" t="s">
        <v>44</v>
      </c>
      <c r="L58" s="9" t="s">
        <v>297</v>
      </c>
      <c r="M58" s="9"/>
      <c r="N58" s="9"/>
      <c r="O58" s="9" t="s">
        <v>44</v>
      </c>
      <c r="P58" s="9" t="s">
        <v>297</v>
      </c>
    </row>
    <row r="59" spans="1:16" ht="23.1" customHeight="1" x14ac:dyDescent="0.25">
      <c r="A59" s="7" t="s">
        <v>298</v>
      </c>
      <c r="B59" s="8" t="s">
        <v>285</v>
      </c>
      <c r="C59" s="8" t="s">
        <v>299</v>
      </c>
      <c r="D59" s="8" t="s">
        <v>37</v>
      </c>
      <c r="E59" s="8" t="s">
        <v>290</v>
      </c>
      <c r="F59" s="8" t="s">
        <v>291</v>
      </c>
      <c r="G59" s="8" t="s">
        <v>40</v>
      </c>
      <c r="H59" s="8" t="s">
        <v>300</v>
      </c>
      <c r="I59" s="8" t="s">
        <v>285</v>
      </c>
      <c r="J59" s="8" t="s">
        <v>301</v>
      </c>
      <c r="K59" s="9" t="s">
        <v>44</v>
      </c>
      <c r="L59" s="9" t="s">
        <v>297</v>
      </c>
      <c r="M59" s="9"/>
      <c r="N59" s="9"/>
      <c r="O59" s="9" t="s">
        <v>44</v>
      </c>
      <c r="P59" s="9" t="s">
        <v>297</v>
      </c>
    </row>
    <row r="60" spans="1:16" ht="23.1" customHeight="1" x14ac:dyDescent="0.25">
      <c r="A60" s="7" t="s">
        <v>302</v>
      </c>
      <c r="B60" s="8" t="s">
        <v>285</v>
      </c>
      <c r="C60" s="8" t="s">
        <v>303</v>
      </c>
      <c r="D60" s="8" t="s">
        <v>37</v>
      </c>
      <c r="E60" s="8" t="s">
        <v>290</v>
      </c>
      <c r="F60" s="8" t="s">
        <v>291</v>
      </c>
      <c r="G60" s="8" t="s">
        <v>40</v>
      </c>
      <c r="H60" s="8" t="s">
        <v>304</v>
      </c>
      <c r="I60" s="8" t="s">
        <v>285</v>
      </c>
      <c r="J60" s="8" t="s">
        <v>305</v>
      </c>
      <c r="K60" s="9" t="s">
        <v>44</v>
      </c>
      <c r="L60" s="9" t="s">
        <v>297</v>
      </c>
      <c r="M60" s="9"/>
      <c r="N60" s="9"/>
      <c r="O60" s="9" t="s">
        <v>44</v>
      </c>
      <c r="P60" s="9" t="s">
        <v>297</v>
      </c>
    </row>
    <row r="61" spans="1:16" ht="34.5" customHeight="1" x14ac:dyDescent="0.25">
      <c r="A61" s="7" t="s">
        <v>306</v>
      </c>
      <c r="B61" s="8" t="s">
        <v>285</v>
      </c>
      <c r="C61" s="8" t="s">
        <v>307</v>
      </c>
      <c r="D61" s="8" t="s">
        <v>37</v>
      </c>
      <c r="E61" s="8" t="s">
        <v>290</v>
      </c>
      <c r="F61" s="8" t="s">
        <v>291</v>
      </c>
      <c r="G61" s="8" t="s">
        <v>40</v>
      </c>
      <c r="H61" s="8" t="s">
        <v>308</v>
      </c>
      <c r="I61" s="8" t="s">
        <v>285</v>
      </c>
      <c r="J61" s="8" t="s">
        <v>309</v>
      </c>
      <c r="K61" s="9" t="s">
        <v>44</v>
      </c>
      <c r="L61" s="9" t="s">
        <v>297</v>
      </c>
      <c r="M61" s="9"/>
      <c r="N61" s="9"/>
      <c r="O61" s="9" t="s">
        <v>44</v>
      </c>
      <c r="P61" s="9" t="s">
        <v>297</v>
      </c>
    </row>
    <row r="62" spans="1:16" ht="23.1" customHeight="1" x14ac:dyDescent="0.25">
      <c r="A62" s="7" t="s">
        <v>310</v>
      </c>
      <c r="B62" s="8" t="s">
        <v>311</v>
      </c>
      <c r="C62" s="8" t="s">
        <v>312</v>
      </c>
      <c r="D62" s="8" t="s">
        <v>37</v>
      </c>
      <c r="E62" s="8" t="s">
        <v>313</v>
      </c>
      <c r="F62" s="8" t="s">
        <v>314</v>
      </c>
      <c r="G62" s="8" t="s">
        <v>40</v>
      </c>
      <c r="H62" s="8" t="s">
        <v>300</v>
      </c>
      <c r="I62" s="8" t="s">
        <v>315</v>
      </c>
      <c r="J62" s="8" t="s">
        <v>316</v>
      </c>
      <c r="K62" s="9" t="s">
        <v>44</v>
      </c>
      <c r="L62" s="9" t="s">
        <v>317</v>
      </c>
      <c r="M62" s="9"/>
      <c r="N62" s="9"/>
      <c r="O62" s="9" t="s">
        <v>44</v>
      </c>
      <c r="P62" s="9" t="s">
        <v>459</v>
      </c>
    </row>
    <row r="64" spans="1:16" x14ac:dyDescent="0.25">
      <c r="A64" t="s">
        <v>318</v>
      </c>
      <c r="C64" t="s">
        <v>319</v>
      </c>
      <c r="L64" t="s">
        <v>320</v>
      </c>
      <c r="P64" t="s">
        <v>460</v>
      </c>
    </row>
  </sheetData>
  <autoFilter ref="A1:P62" xr:uid="{00000000-0009-0000-0000-000001000000}"/>
  <mergeCells count="8">
    <mergeCell ref="A2:J2"/>
    <mergeCell ref="A52:J52"/>
    <mergeCell ref="A42:J42"/>
    <mergeCell ref="A31:J31"/>
    <mergeCell ref="A55:J55"/>
    <mergeCell ref="A35:J35"/>
    <mergeCell ref="A4:J4"/>
    <mergeCell ref="A26:J26"/>
  </mergeCells>
  <dataValidations count="1">
    <dataValidation type="list" allowBlank="1" sqref="K2:K62 M2:M62 O2:O62" xr:uid="{00000000-0002-0000-0100-000000000000}">
      <formula1>"Yes,No,Change"</formula1>
    </dataValidation>
  </dataValidations>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70"/>
  <sheetViews>
    <sheetView workbookViewId="0">
      <pane xSplit="2" ySplit="4" topLeftCell="C5" activePane="bottomRight" state="frozen"/>
      <selection pane="topRight"/>
      <selection pane="bottomLeft"/>
      <selection pane="bottomRight"/>
    </sheetView>
  </sheetViews>
  <sheetFormatPr defaultRowHeight="15" x14ac:dyDescent="0.25"/>
  <cols>
    <col min="1" max="1" width="8" customWidth="1"/>
    <col min="2" max="2" width="52" customWidth="1"/>
    <col min="3" max="3" width="16" customWidth="1"/>
    <col min="4" max="4" width="34" customWidth="1"/>
    <col min="5" max="5" width="16" customWidth="1"/>
    <col min="6" max="6" width="12" customWidth="1"/>
    <col min="8" max="8" width="34" customWidth="1"/>
    <col min="9" max="9" width="22" customWidth="1"/>
  </cols>
  <sheetData>
    <row r="1" spans="1:9" ht="15.6" customHeight="1" x14ac:dyDescent="0.25">
      <c r="A1" s="10" t="s">
        <v>321</v>
      </c>
    </row>
    <row r="2" spans="1:9" ht="30" customHeight="1" x14ac:dyDescent="0.25">
      <c r="A2" s="24" t="s">
        <v>322</v>
      </c>
      <c r="B2" s="23"/>
      <c r="C2" s="23"/>
      <c r="D2" s="23"/>
      <c r="E2" s="23"/>
      <c r="F2" s="23"/>
    </row>
    <row r="4" spans="1:9" x14ac:dyDescent="0.25">
      <c r="A4" s="11" t="s">
        <v>17</v>
      </c>
      <c r="B4" s="11" t="s">
        <v>19</v>
      </c>
      <c r="C4" s="11" t="s">
        <v>323</v>
      </c>
      <c r="D4" s="11" t="s">
        <v>324</v>
      </c>
      <c r="E4" s="11" t="s">
        <v>24</v>
      </c>
      <c r="F4" s="11" t="s">
        <v>325</v>
      </c>
      <c r="H4" s="12" t="s">
        <v>326</v>
      </c>
    </row>
    <row r="5" spans="1:9" x14ac:dyDescent="0.25">
      <c r="A5" s="13" t="s">
        <v>34</v>
      </c>
      <c r="B5" s="8" t="s">
        <v>36</v>
      </c>
      <c r="C5" s="14" t="s">
        <v>327</v>
      </c>
      <c r="D5" s="13" t="s">
        <v>328</v>
      </c>
      <c r="E5" s="13" t="s">
        <v>329</v>
      </c>
      <c r="F5" s="13" t="s">
        <v>330</v>
      </c>
      <c r="H5" s="15" t="s">
        <v>331</v>
      </c>
      <c r="I5" s="15">
        <f>COUNTIF($C$5:$C$70,H5)</f>
        <v>26</v>
      </c>
    </row>
    <row r="6" spans="1:9" ht="23.1" customHeight="1" x14ac:dyDescent="0.25">
      <c r="A6" s="13" t="s">
        <v>47</v>
      </c>
      <c r="B6" s="8" t="s">
        <v>49</v>
      </c>
      <c r="C6" s="14" t="s">
        <v>327</v>
      </c>
      <c r="D6" s="13"/>
      <c r="E6" s="13" t="s">
        <v>149</v>
      </c>
      <c r="F6" s="13"/>
      <c r="H6" s="15" t="s">
        <v>332</v>
      </c>
      <c r="I6" s="15">
        <f>COUNTIF($C$5:$C$70,H6)</f>
        <v>14</v>
      </c>
    </row>
    <row r="7" spans="1:9" ht="24" x14ac:dyDescent="0.25">
      <c r="A7" s="13" t="s">
        <v>57</v>
      </c>
      <c r="B7" s="8" t="s">
        <v>58</v>
      </c>
      <c r="C7" s="14" t="s">
        <v>327</v>
      </c>
      <c r="D7" s="13"/>
      <c r="E7" s="13" t="s">
        <v>149</v>
      </c>
      <c r="F7" s="13"/>
      <c r="H7" s="15" t="s">
        <v>327</v>
      </c>
      <c r="I7" s="15">
        <f>COUNTIF($C$5:$C$70,H7)</f>
        <v>19</v>
      </c>
    </row>
    <row r="8" spans="1:9" ht="23.1" customHeight="1" x14ac:dyDescent="0.25">
      <c r="A8" s="13" t="s">
        <v>62</v>
      </c>
      <c r="B8" s="8" t="s">
        <v>333</v>
      </c>
      <c r="C8" s="14" t="s">
        <v>332</v>
      </c>
      <c r="D8" s="13"/>
      <c r="E8" s="13" t="s">
        <v>149</v>
      </c>
      <c r="F8" s="13"/>
      <c r="H8" s="15" t="s">
        <v>334</v>
      </c>
      <c r="I8" s="15">
        <f>COUNTIF($C$5:$C$70,H8)</f>
        <v>3</v>
      </c>
    </row>
    <row r="9" spans="1:9" ht="23.1" customHeight="1" x14ac:dyDescent="0.25">
      <c r="A9" s="13" t="s">
        <v>68</v>
      </c>
      <c r="B9" s="8" t="s">
        <v>335</v>
      </c>
      <c r="C9" s="14" t="s">
        <v>331</v>
      </c>
      <c r="D9" s="13"/>
      <c r="E9" s="13" t="s">
        <v>149</v>
      </c>
      <c r="F9" s="13"/>
      <c r="H9" s="15" t="s">
        <v>336</v>
      </c>
      <c r="I9" s="15">
        <f>COUNTIF($C$5:$C$70,H9)</f>
        <v>4</v>
      </c>
    </row>
    <row r="10" spans="1:9" x14ac:dyDescent="0.25">
      <c r="A10" s="13" t="s">
        <v>73</v>
      </c>
      <c r="B10" s="8" t="s">
        <v>74</v>
      </c>
      <c r="C10" s="14" t="s">
        <v>327</v>
      </c>
      <c r="D10" s="13"/>
      <c r="E10" s="13" t="s">
        <v>149</v>
      </c>
      <c r="F10" s="13"/>
      <c r="H10" s="16" t="s">
        <v>337</v>
      </c>
      <c r="I10" s="16">
        <f>COUNTA($C$5:$C$70)</f>
        <v>66</v>
      </c>
    </row>
    <row r="11" spans="1:9" ht="23.1" customHeight="1" x14ac:dyDescent="0.25">
      <c r="A11" s="13" t="s">
        <v>79</v>
      </c>
      <c r="B11" s="8" t="s">
        <v>338</v>
      </c>
      <c r="C11" s="14" t="s">
        <v>336</v>
      </c>
      <c r="D11" s="13"/>
      <c r="E11" s="13" t="s">
        <v>149</v>
      </c>
      <c r="F11" s="13"/>
      <c r="H11" s="16" t="s">
        <v>339</v>
      </c>
      <c r="I11" s="17">
        <f>IF(I10=0,0,(I7+I8+I9)/I10)</f>
        <v>0.39393939393939392</v>
      </c>
    </row>
    <row r="12" spans="1:9" x14ac:dyDescent="0.25">
      <c r="A12" s="13" t="s">
        <v>83</v>
      </c>
      <c r="B12" s="8" t="s">
        <v>84</v>
      </c>
      <c r="C12" s="14" t="s">
        <v>327</v>
      </c>
      <c r="D12" s="13"/>
      <c r="E12" s="13" t="s">
        <v>149</v>
      </c>
      <c r="F12" s="13"/>
      <c r="H12" s="16" t="s">
        <v>340</v>
      </c>
      <c r="I12" s="16" t="str">
        <f>IF(I5+I6=0,"YES — all lines closed","NO — "&amp;(I5+I6)&amp;" lines open")</f>
        <v>NO — 40 lines open</v>
      </c>
    </row>
    <row r="13" spans="1:9" ht="23.1" customHeight="1" x14ac:dyDescent="0.25">
      <c r="A13" s="13" t="s">
        <v>88</v>
      </c>
      <c r="B13" s="8" t="s">
        <v>341</v>
      </c>
      <c r="C13" s="14" t="s">
        <v>327</v>
      </c>
      <c r="D13" s="13"/>
      <c r="E13" s="13" t="s">
        <v>149</v>
      </c>
      <c r="F13" s="13"/>
    </row>
    <row r="14" spans="1:9" ht="23.1" customHeight="1" x14ac:dyDescent="0.25">
      <c r="A14" s="13" t="s">
        <v>93</v>
      </c>
      <c r="B14" s="8" t="s">
        <v>342</v>
      </c>
      <c r="C14" s="14" t="s">
        <v>332</v>
      </c>
      <c r="D14" s="13"/>
      <c r="E14" s="13" t="s">
        <v>149</v>
      </c>
      <c r="F14" s="13"/>
      <c r="H14" s="18" t="s">
        <v>343</v>
      </c>
    </row>
    <row r="15" spans="1:9" x14ac:dyDescent="0.25">
      <c r="A15" s="13" t="s">
        <v>96</v>
      </c>
      <c r="B15" s="8" t="s">
        <v>97</v>
      </c>
      <c r="C15" s="14" t="s">
        <v>331</v>
      </c>
      <c r="D15" s="13"/>
      <c r="E15" s="13" t="s">
        <v>149</v>
      </c>
      <c r="F15" s="13"/>
    </row>
    <row r="16" spans="1:9" ht="23.1" customHeight="1" x14ac:dyDescent="0.25">
      <c r="A16" s="13" t="s">
        <v>101</v>
      </c>
      <c r="B16" s="8" t="s">
        <v>344</v>
      </c>
      <c r="C16" s="14" t="s">
        <v>327</v>
      </c>
      <c r="D16" s="13"/>
      <c r="E16" s="13" t="s">
        <v>149</v>
      </c>
      <c r="F16" s="13"/>
    </row>
    <row r="17" spans="1:6" x14ac:dyDescent="0.25">
      <c r="A17" s="13" t="s">
        <v>104</v>
      </c>
      <c r="B17" s="8" t="s">
        <v>105</v>
      </c>
      <c r="C17" s="14" t="s">
        <v>336</v>
      </c>
      <c r="D17" s="13"/>
      <c r="E17" s="13" t="s">
        <v>149</v>
      </c>
      <c r="F17" s="13"/>
    </row>
    <row r="18" spans="1:6" ht="23.1" customHeight="1" x14ac:dyDescent="0.25">
      <c r="A18" s="13" t="s">
        <v>108</v>
      </c>
      <c r="B18" s="8" t="s">
        <v>345</v>
      </c>
      <c r="C18" s="14" t="s">
        <v>327</v>
      </c>
      <c r="D18" s="13"/>
      <c r="E18" s="13" t="s">
        <v>149</v>
      </c>
      <c r="F18" s="13"/>
    </row>
    <row r="19" spans="1:6" ht="23.1" customHeight="1" x14ac:dyDescent="0.25">
      <c r="A19" s="13" t="s">
        <v>111</v>
      </c>
      <c r="B19" s="8" t="s">
        <v>346</v>
      </c>
      <c r="C19" s="14" t="s">
        <v>327</v>
      </c>
      <c r="D19" s="13"/>
      <c r="E19" s="13" t="s">
        <v>149</v>
      </c>
      <c r="F19" s="13"/>
    </row>
    <row r="20" spans="1:6" ht="23.1" customHeight="1" x14ac:dyDescent="0.25">
      <c r="A20" s="13" t="s">
        <v>114</v>
      </c>
      <c r="B20" s="8" t="s">
        <v>347</v>
      </c>
      <c r="C20" s="14" t="s">
        <v>332</v>
      </c>
      <c r="D20" s="13"/>
      <c r="E20" s="13" t="s">
        <v>149</v>
      </c>
      <c r="F20" s="13"/>
    </row>
    <row r="21" spans="1:6" ht="23.1" customHeight="1" x14ac:dyDescent="0.25">
      <c r="A21" s="13" t="s">
        <v>118</v>
      </c>
      <c r="B21" s="8" t="s">
        <v>348</v>
      </c>
      <c r="C21" s="14" t="s">
        <v>331</v>
      </c>
      <c r="D21" s="13"/>
      <c r="E21" s="13" t="s">
        <v>149</v>
      </c>
      <c r="F21" s="13"/>
    </row>
    <row r="22" spans="1:6" x14ac:dyDescent="0.25">
      <c r="A22" s="13" t="s">
        <v>123</v>
      </c>
      <c r="B22" s="8" t="s">
        <v>124</v>
      </c>
      <c r="C22" s="14" t="s">
        <v>327</v>
      </c>
      <c r="D22" s="13"/>
      <c r="E22" s="13" t="s">
        <v>149</v>
      </c>
      <c r="F22" s="13"/>
    </row>
    <row r="23" spans="1:6" ht="24" x14ac:dyDescent="0.25">
      <c r="A23" s="13" t="s">
        <v>127</v>
      </c>
      <c r="B23" s="8" t="s">
        <v>349</v>
      </c>
      <c r="C23" s="14" t="s">
        <v>336</v>
      </c>
      <c r="D23" s="13"/>
      <c r="E23" s="13" t="s">
        <v>149</v>
      </c>
      <c r="F23" s="13"/>
    </row>
    <row r="24" spans="1:6" ht="23.1" customHeight="1" x14ac:dyDescent="0.25">
      <c r="A24" s="13" t="s">
        <v>130</v>
      </c>
      <c r="B24" s="8" t="s">
        <v>350</v>
      </c>
      <c r="C24" s="14" t="s">
        <v>327</v>
      </c>
      <c r="D24" s="13"/>
      <c r="E24" s="13" t="s">
        <v>149</v>
      </c>
      <c r="F24" s="13"/>
    </row>
    <row r="25" spans="1:6" ht="23.1" customHeight="1" x14ac:dyDescent="0.25">
      <c r="A25" s="13" t="s">
        <v>133</v>
      </c>
      <c r="B25" s="8" t="s">
        <v>351</v>
      </c>
      <c r="C25" s="14" t="s">
        <v>327</v>
      </c>
      <c r="D25" s="13"/>
      <c r="E25" s="13" t="s">
        <v>149</v>
      </c>
      <c r="F25" s="13"/>
    </row>
    <row r="26" spans="1:6" ht="24" x14ac:dyDescent="0.25">
      <c r="A26" s="13" t="s">
        <v>137</v>
      </c>
      <c r="B26" s="8" t="s">
        <v>138</v>
      </c>
      <c r="C26" s="14" t="s">
        <v>332</v>
      </c>
      <c r="D26" s="13"/>
      <c r="E26" s="13" t="s">
        <v>149</v>
      </c>
      <c r="F26" s="13"/>
    </row>
    <row r="27" spans="1:6" x14ac:dyDescent="0.25">
      <c r="A27" s="13" t="s">
        <v>143</v>
      </c>
      <c r="B27" s="8" t="s">
        <v>352</v>
      </c>
      <c r="C27" s="14" t="s">
        <v>327</v>
      </c>
      <c r="D27" s="13"/>
      <c r="E27" s="13" t="s">
        <v>149</v>
      </c>
      <c r="F27" s="13" t="s">
        <v>330</v>
      </c>
    </row>
    <row r="28" spans="1:6" x14ac:dyDescent="0.25">
      <c r="A28" s="13" t="s">
        <v>152</v>
      </c>
      <c r="B28" s="8" t="s">
        <v>353</v>
      </c>
      <c r="C28" s="14" t="s">
        <v>327</v>
      </c>
      <c r="D28" s="13"/>
      <c r="E28" s="13" t="s">
        <v>158</v>
      </c>
      <c r="F28" s="13"/>
    </row>
    <row r="29" spans="1:6" x14ac:dyDescent="0.25">
      <c r="A29" s="13" t="s">
        <v>152</v>
      </c>
      <c r="B29" s="8" t="s">
        <v>354</v>
      </c>
      <c r="C29" s="14" t="s">
        <v>327</v>
      </c>
      <c r="D29" s="13"/>
      <c r="E29" s="13" t="s">
        <v>158</v>
      </c>
      <c r="F29" s="13"/>
    </row>
    <row r="30" spans="1:6" x14ac:dyDescent="0.25">
      <c r="A30" s="13" t="s">
        <v>152</v>
      </c>
      <c r="B30" s="8" t="s">
        <v>355</v>
      </c>
      <c r="C30" s="14" t="s">
        <v>327</v>
      </c>
      <c r="D30" s="13"/>
      <c r="E30" s="13" t="s">
        <v>158</v>
      </c>
      <c r="F30" s="13"/>
    </row>
    <row r="31" spans="1:6" x14ac:dyDescent="0.25">
      <c r="A31" s="13" t="s">
        <v>161</v>
      </c>
      <c r="B31" s="8" t="s">
        <v>356</v>
      </c>
      <c r="C31" s="14" t="s">
        <v>332</v>
      </c>
      <c r="D31" s="13"/>
      <c r="E31" s="13" t="s">
        <v>158</v>
      </c>
      <c r="F31" s="13"/>
    </row>
    <row r="32" spans="1:6" x14ac:dyDescent="0.25">
      <c r="A32" s="13" t="s">
        <v>161</v>
      </c>
      <c r="B32" s="8" t="s">
        <v>357</v>
      </c>
      <c r="C32" s="14" t="s">
        <v>332</v>
      </c>
      <c r="D32" s="13"/>
      <c r="E32" s="13" t="s">
        <v>158</v>
      </c>
      <c r="F32" s="13"/>
    </row>
    <row r="33" spans="1:6" x14ac:dyDescent="0.25">
      <c r="A33" s="13" t="s">
        <v>161</v>
      </c>
      <c r="B33" s="8" t="s">
        <v>358</v>
      </c>
      <c r="C33" s="14" t="s">
        <v>332</v>
      </c>
      <c r="D33" s="13"/>
      <c r="E33" s="13" t="s">
        <v>158</v>
      </c>
      <c r="F33" s="13"/>
    </row>
    <row r="34" spans="1:6" x14ac:dyDescent="0.25">
      <c r="A34" s="13" t="s">
        <v>161</v>
      </c>
      <c r="B34" s="8" t="s">
        <v>359</v>
      </c>
      <c r="C34" s="14" t="s">
        <v>332</v>
      </c>
      <c r="D34" s="13"/>
      <c r="E34" s="13" t="s">
        <v>158</v>
      </c>
      <c r="F34" s="13"/>
    </row>
    <row r="35" spans="1:6" x14ac:dyDescent="0.25">
      <c r="A35" s="13" t="s">
        <v>161</v>
      </c>
      <c r="B35" s="8" t="s">
        <v>360</v>
      </c>
      <c r="C35" s="14" t="s">
        <v>332</v>
      </c>
      <c r="D35" s="13"/>
      <c r="E35" s="13" t="s">
        <v>158</v>
      </c>
      <c r="F35" s="13"/>
    </row>
    <row r="36" spans="1:6" x14ac:dyDescent="0.25">
      <c r="A36" s="13" t="s">
        <v>161</v>
      </c>
      <c r="B36" s="8" t="s">
        <v>361</v>
      </c>
      <c r="C36" s="14" t="s">
        <v>332</v>
      </c>
      <c r="D36" s="13"/>
      <c r="E36" s="13" t="s">
        <v>158</v>
      </c>
      <c r="F36" s="13"/>
    </row>
    <row r="37" spans="1:6" x14ac:dyDescent="0.25">
      <c r="A37" s="13" t="s">
        <v>161</v>
      </c>
      <c r="B37" s="8" t="s">
        <v>362</v>
      </c>
      <c r="C37" s="14" t="s">
        <v>332</v>
      </c>
      <c r="D37" s="13"/>
      <c r="E37" s="13" t="s">
        <v>158</v>
      </c>
      <c r="F37" s="13"/>
    </row>
    <row r="38" spans="1:6" x14ac:dyDescent="0.25">
      <c r="A38" s="13" t="s">
        <v>152</v>
      </c>
      <c r="B38" s="8" t="s">
        <v>363</v>
      </c>
      <c r="C38" s="14" t="s">
        <v>332</v>
      </c>
      <c r="D38" s="13"/>
      <c r="E38" s="13" t="s">
        <v>158</v>
      </c>
      <c r="F38" s="13"/>
    </row>
    <row r="39" spans="1:6" x14ac:dyDescent="0.25">
      <c r="A39" s="13" t="s">
        <v>166</v>
      </c>
      <c r="B39" s="8" t="s">
        <v>364</v>
      </c>
      <c r="C39" s="14" t="s">
        <v>331</v>
      </c>
      <c r="D39" s="13"/>
      <c r="E39" s="13" t="s">
        <v>149</v>
      </c>
      <c r="F39" s="13"/>
    </row>
    <row r="40" spans="1:6" ht="23.1" customHeight="1" x14ac:dyDescent="0.25">
      <c r="A40" s="13" t="s">
        <v>365</v>
      </c>
      <c r="B40" s="8" t="s">
        <v>366</v>
      </c>
      <c r="C40" s="14" t="s">
        <v>327</v>
      </c>
      <c r="D40" s="13" t="s">
        <v>367</v>
      </c>
      <c r="E40" s="13" t="s">
        <v>158</v>
      </c>
      <c r="F40" s="13"/>
    </row>
    <row r="41" spans="1:6" ht="23.1" customHeight="1" x14ac:dyDescent="0.25">
      <c r="A41" s="13" t="s">
        <v>365</v>
      </c>
      <c r="B41" s="8" t="s">
        <v>368</v>
      </c>
      <c r="C41" s="14" t="s">
        <v>327</v>
      </c>
      <c r="D41" s="13" t="s">
        <v>367</v>
      </c>
      <c r="E41" s="13" t="s">
        <v>158</v>
      </c>
      <c r="F41" s="13"/>
    </row>
    <row r="42" spans="1:6" ht="23.1" customHeight="1" x14ac:dyDescent="0.25">
      <c r="A42" s="13" t="s">
        <v>365</v>
      </c>
      <c r="B42" s="8" t="s">
        <v>369</v>
      </c>
      <c r="C42" s="14" t="s">
        <v>327</v>
      </c>
      <c r="D42" s="13" t="s">
        <v>367</v>
      </c>
      <c r="E42" s="13" t="s">
        <v>158</v>
      </c>
      <c r="F42" s="13"/>
    </row>
    <row r="43" spans="1:6" ht="23.1" customHeight="1" x14ac:dyDescent="0.25">
      <c r="A43" s="13" t="s">
        <v>365</v>
      </c>
      <c r="B43" s="8" t="s">
        <v>370</v>
      </c>
      <c r="C43" s="14" t="s">
        <v>332</v>
      </c>
      <c r="D43" s="13" t="s">
        <v>371</v>
      </c>
      <c r="E43" s="13" t="s">
        <v>158</v>
      </c>
      <c r="F43" s="13"/>
    </row>
    <row r="44" spans="1:6" ht="23.1" customHeight="1" x14ac:dyDescent="0.25">
      <c r="A44" s="13" t="s">
        <v>365</v>
      </c>
      <c r="B44" s="8" t="s">
        <v>372</v>
      </c>
      <c r="C44" s="14" t="s">
        <v>332</v>
      </c>
      <c r="D44" s="13" t="s">
        <v>371</v>
      </c>
      <c r="E44" s="13" t="s">
        <v>158</v>
      </c>
      <c r="F44" s="13"/>
    </row>
    <row r="45" spans="1:6" ht="23.1" customHeight="1" x14ac:dyDescent="0.25">
      <c r="A45" s="13" t="s">
        <v>365</v>
      </c>
      <c r="B45" s="8" t="s">
        <v>373</v>
      </c>
      <c r="C45" s="14" t="s">
        <v>331</v>
      </c>
      <c r="D45" s="13" t="s">
        <v>374</v>
      </c>
      <c r="E45" s="13" t="s">
        <v>158</v>
      </c>
      <c r="F45" s="13"/>
    </row>
    <row r="46" spans="1:6" ht="23.1" customHeight="1" x14ac:dyDescent="0.25">
      <c r="A46" s="13" t="s">
        <v>365</v>
      </c>
      <c r="B46" s="8" t="s">
        <v>375</v>
      </c>
      <c r="C46" s="14" t="s">
        <v>331</v>
      </c>
      <c r="D46" s="13" t="s">
        <v>374</v>
      </c>
      <c r="E46" s="13" t="s">
        <v>158</v>
      </c>
      <c r="F46" s="13"/>
    </row>
    <row r="47" spans="1:6" x14ac:dyDescent="0.25">
      <c r="A47" s="13" t="s">
        <v>224</v>
      </c>
      <c r="B47" s="8" t="s">
        <v>226</v>
      </c>
      <c r="C47" s="14" t="s">
        <v>334</v>
      </c>
      <c r="D47" s="13" t="s">
        <v>227</v>
      </c>
      <c r="E47" s="13" t="s">
        <v>149</v>
      </c>
      <c r="F47" s="13"/>
    </row>
    <row r="48" spans="1:6" x14ac:dyDescent="0.25">
      <c r="A48" s="13" t="s">
        <v>232</v>
      </c>
      <c r="B48" s="8" t="s">
        <v>233</v>
      </c>
      <c r="C48" s="14" t="s">
        <v>334</v>
      </c>
      <c r="D48" s="13" t="s">
        <v>234</v>
      </c>
      <c r="E48" s="13" t="s">
        <v>149</v>
      </c>
      <c r="F48" s="13"/>
    </row>
    <row r="49" spans="1:6" x14ac:dyDescent="0.25">
      <c r="A49" s="13" t="s">
        <v>236</v>
      </c>
      <c r="B49" s="8" t="s">
        <v>237</v>
      </c>
      <c r="C49" s="14" t="s">
        <v>331</v>
      </c>
      <c r="D49" s="13" t="s">
        <v>238</v>
      </c>
      <c r="E49" s="13" t="s">
        <v>149</v>
      </c>
      <c r="F49" s="13"/>
    </row>
    <row r="50" spans="1:6" x14ac:dyDescent="0.25">
      <c r="A50" s="13" t="s">
        <v>239</v>
      </c>
      <c r="B50" s="8" t="s">
        <v>240</v>
      </c>
      <c r="C50" s="14" t="s">
        <v>336</v>
      </c>
      <c r="D50" s="13" t="s">
        <v>376</v>
      </c>
      <c r="E50" s="13" t="s">
        <v>149</v>
      </c>
      <c r="F50" s="13"/>
    </row>
    <row r="51" spans="1:6" x14ac:dyDescent="0.25">
      <c r="A51" s="13" t="s">
        <v>244</v>
      </c>
      <c r="B51" s="8" t="s">
        <v>245</v>
      </c>
      <c r="C51" s="14" t="s">
        <v>331</v>
      </c>
      <c r="D51" s="13" t="s">
        <v>246</v>
      </c>
      <c r="E51" s="13" t="s">
        <v>149</v>
      </c>
      <c r="F51" s="13"/>
    </row>
    <row r="52" spans="1:6" x14ac:dyDescent="0.25">
      <c r="A52" s="13" t="s">
        <v>247</v>
      </c>
      <c r="B52" s="8" t="s">
        <v>248</v>
      </c>
      <c r="C52" s="14" t="s">
        <v>331</v>
      </c>
      <c r="D52" s="13" t="s">
        <v>249</v>
      </c>
      <c r="E52" s="13" t="s">
        <v>149</v>
      </c>
      <c r="F52" s="13"/>
    </row>
    <row r="53" spans="1:6" x14ac:dyDescent="0.25">
      <c r="A53" s="13" t="s">
        <v>250</v>
      </c>
      <c r="B53" s="8" t="s">
        <v>251</v>
      </c>
      <c r="C53" s="14" t="s">
        <v>331</v>
      </c>
      <c r="D53" s="13" t="s">
        <v>252</v>
      </c>
      <c r="E53" s="13" t="s">
        <v>149</v>
      </c>
      <c r="F53" s="13"/>
    </row>
    <row r="54" spans="1:6" x14ac:dyDescent="0.25">
      <c r="A54" s="13" t="s">
        <v>253</v>
      </c>
      <c r="B54" s="8" t="s">
        <v>254</v>
      </c>
      <c r="C54" s="14" t="s">
        <v>334</v>
      </c>
      <c r="D54" s="13" t="s">
        <v>255</v>
      </c>
      <c r="E54" s="13" t="s">
        <v>149</v>
      </c>
      <c r="F54" s="13"/>
    </row>
    <row r="55" spans="1:6" x14ac:dyDescent="0.25">
      <c r="A55" s="13" t="s">
        <v>258</v>
      </c>
      <c r="B55" s="8" t="s">
        <v>259</v>
      </c>
      <c r="C55" s="14" t="s">
        <v>331</v>
      </c>
      <c r="D55" s="13" t="s">
        <v>260</v>
      </c>
      <c r="E55" s="13" t="s">
        <v>149</v>
      </c>
      <c r="F55" s="13"/>
    </row>
    <row r="56" spans="1:6" x14ac:dyDescent="0.25">
      <c r="A56" s="13" t="s">
        <v>192</v>
      </c>
      <c r="B56" s="8" t="s">
        <v>377</v>
      </c>
      <c r="C56" s="14" t="s">
        <v>331</v>
      </c>
      <c r="D56" s="13"/>
      <c r="E56" s="13" t="s">
        <v>195</v>
      </c>
      <c r="F56" s="13"/>
    </row>
    <row r="57" spans="1:6" x14ac:dyDescent="0.25">
      <c r="A57" s="13" t="s">
        <v>199</v>
      </c>
      <c r="B57" s="8" t="s">
        <v>378</v>
      </c>
      <c r="C57" s="14" t="s">
        <v>331</v>
      </c>
      <c r="D57" s="13"/>
      <c r="E57" s="13" t="s">
        <v>195</v>
      </c>
      <c r="F57" s="13"/>
    </row>
    <row r="58" spans="1:6" x14ac:dyDescent="0.25">
      <c r="A58" s="13" t="s">
        <v>204</v>
      </c>
      <c r="B58" s="8" t="s">
        <v>379</v>
      </c>
      <c r="C58" s="14" t="s">
        <v>331</v>
      </c>
      <c r="D58" s="13"/>
      <c r="E58" s="13" t="s">
        <v>195</v>
      </c>
      <c r="F58" s="13"/>
    </row>
    <row r="59" spans="1:6" x14ac:dyDescent="0.25">
      <c r="A59" s="13" t="s">
        <v>207</v>
      </c>
      <c r="B59" s="8" t="s">
        <v>380</v>
      </c>
      <c r="C59" s="14" t="s">
        <v>331</v>
      </c>
      <c r="D59" s="13"/>
      <c r="E59" s="13" t="s">
        <v>195</v>
      </c>
      <c r="F59" s="13"/>
    </row>
    <row r="60" spans="1:6" x14ac:dyDescent="0.25">
      <c r="A60" s="13" t="s">
        <v>214</v>
      </c>
      <c r="B60" s="8" t="s">
        <v>381</v>
      </c>
      <c r="C60" s="14" t="s">
        <v>331</v>
      </c>
      <c r="D60" s="13"/>
      <c r="E60" s="13" t="s">
        <v>195</v>
      </c>
      <c r="F60" s="13"/>
    </row>
    <row r="61" spans="1:6" x14ac:dyDescent="0.25">
      <c r="A61" s="13" t="s">
        <v>220</v>
      </c>
      <c r="B61" s="8" t="s">
        <v>382</v>
      </c>
      <c r="C61" s="14" t="s">
        <v>331</v>
      </c>
      <c r="D61" s="13"/>
      <c r="E61" s="13" t="s">
        <v>195</v>
      </c>
      <c r="F61" s="13"/>
    </row>
    <row r="62" spans="1:6" x14ac:dyDescent="0.25">
      <c r="A62" s="13" t="s">
        <v>263</v>
      </c>
      <c r="B62" s="8" t="s">
        <v>383</v>
      </c>
      <c r="C62" s="14" t="s">
        <v>331</v>
      </c>
      <c r="D62" s="13"/>
      <c r="E62" s="13" t="s">
        <v>270</v>
      </c>
      <c r="F62" s="13"/>
    </row>
    <row r="63" spans="1:6" x14ac:dyDescent="0.25">
      <c r="A63" s="13" t="s">
        <v>274</v>
      </c>
      <c r="B63" s="8" t="s">
        <v>384</v>
      </c>
      <c r="C63" s="14" t="s">
        <v>331</v>
      </c>
      <c r="D63" s="13"/>
      <c r="E63" s="13" t="s">
        <v>270</v>
      </c>
      <c r="F63" s="13"/>
    </row>
    <row r="64" spans="1:6" x14ac:dyDescent="0.25">
      <c r="A64" s="13" t="s">
        <v>282</v>
      </c>
      <c r="B64" s="8" t="s">
        <v>283</v>
      </c>
      <c r="C64" s="14" t="s">
        <v>331</v>
      </c>
      <c r="D64" s="13"/>
      <c r="E64" s="13" t="s">
        <v>270</v>
      </c>
      <c r="F64" s="13"/>
    </row>
    <row r="65" spans="1:6" x14ac:dyDescent="0.25">
      <c r="A65" s="13" t="s">
        <v>288</v>
      </c>
      <c r="B65" s="8" t="s">
        <v>385</v>
      </c>
      <c r="C65" s="14" t="s">
        <v>331</v>
      </c>
      <c r="D65" s="13"/>
      <c r="E65" s="13" t="s">
        <v>270</v>
      </c>
      <c r="F65" s="13"/>
    </row>
    <row r="66" spans="1:6" x14ac:dyDescent="0.25">
      <c r="A66" s="13" t="s">
        <v>294</v>
      </c>
      <c r="B66" s="8" t="s">
        <v>386</v>
      </c>
      <c r="C66" s="14" t="s">
        <v>331</v>
      </c>
      <c r="D66" s="13"/>
      <c r="E66" s="13" t="s">
        <v>149</v>
      </c>
      <c r="F66" s="13"/>
    </row>
    <row r="67" spans="1:6" x14ac:dyDescent="0.25">
      <c r="A67" s="13" t="s">
        <v>298</v>
      </c>
      <c r="B67" s="8" t="s">
        <v>387</v>
      </c>
      <c r="C67" s="14" t="s">
        <v>331</v>
      </c>
      <c r="D67" s="13"/>
      <c r="E67" s="13" t="s">
        <v>300</v>
      </c>
      <c r="F67" s="13"/>
    </row>
    <row r="68" spans="1:6" x14ac:dyDescent="0.25">
      <c r="A68" s="13" t="s">
        <v>302</v>
      </c>
      <c r="B68" s="8" t="s">
        <v>388</v>
      </c>
      <c r="C68" s="14" t="s">
        <v>331</v>
      </c>
      <c r="D68" s="13"/>
      <c r="E68" s="13" t="s">
        <v>304</v>
      </c>
      <c r="F68" s="13"/>
    </row>
    <row r="69" spans="1:6" x14ac:dyDescent="0.25">
      <c r="A69" s="13" t="s">
        <v>306</v>
      </c>
      <c r="B69" s="8" t="s">
        <v>389</v>
      </c>
      <c r="C69" s="14" t="s">
        <v>331</v>
      </c>
      <c r="D69" s="13"/>
      <c r="E69" s="13" t="s">
        <v>308</v>
      </c>
      <c r="F69" s="13"/>
    </row>
    <row r="70" spans="1:6" x14ac:dyDescent="0.25">
      <c r="A70" s="13" t="s">
        <v>310</v>
      </c>
      <c r="B70" s="8" t="s">
        <v>390</v>
      </c>
      <c r="C70" s="14" t="s">
        <v>331</v>
      </c>
      <c r="D70" s="13"/>
      <c r="E70" s="13" t="s">
        <v>300</v>
      </c>
      <c r="F70" s="13"/>
    </row>
  </sheetData>
  <mergeCells count="1">
    <mergeCell ref="A2:F2"/>
  </mergeCells>
  <dataValidations count="1">
    <dataValidation type="list" sqref="C5:C70" xr:uid="{00000000-0002-0000-0200-000000000000}">
      <formula1>"Not started,In progress,Complete,Evidence linked,N/A (reason)"</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9"/>
  <sheetViews>
    <sheetView workbookViewId="0"/>
  </sheetViews>
  <sheetFormatPr defaultRowHeight="15" x14ac:dyDescent="0.25"/>
  <cols>
    <col min="1" max="1" width="20" customWidth="1"/>
    <col min="2" max="2" width="90" customWidth="1"/>
    <col min="3" max="3" width="30" customWidth="1"/>
  </cols>
  <sheetData>
    <row r="1" spans="1:3" x14ac:dyDescent="0.25">
      <c r="A1" s="19" t="s">
        <v>323</v>
      </c>
      <c r="B1" s="19" t="s">
        <v>391</v>
      </c>
      <c r="C1" s="19" t="s">
        <v>392</v>
      </c>
    </row>
    <row r="2" spans="1:3" x14ac:dyDescent="0.25">
      <c r="A2" s="7" t="s">
        <v>331</v>
      </c>
      <c r="B2" s="8" t="s">
        <v>393</v>
      </c>
      <c r="C2" s="8" t="s">
        <v>40</v>
      </c>
    </row>
    <row r="3" spans="1:3" x14ac:dyDescent="0.25">
      <c r="A3" s="7" t="s">
        <v>332</v>
      </c>
      <c r="B3" s="8" t="s">
        <v>394</v>
      </c>
      <c r="C3" s="8" t="s">
        <v>40</v>
      </c>
    </row>
    <row r="4" spans="1:3" x14ac:dyDescent="0.25">
      <c r="A4" s="7" t="s">
        <v>327</v>
      </c>
      <c r="B4" s="8" t="s">
        <v>395</v>
      </c>
      <c r="C4" s="8" t="s">
        <v>44</v>
      </c>
    </row>
    <row r="5" spans="1:3" x14ac:dyDescent="0.25">
      <c r="A5" s="7" t="s">
        <v>334</v>
      </c>
      <c r="B5" s="8" t="s">
        <v>396</v>
      </c>
      <c r="C5" s="8" t="s">
        <v>44</v>
      </c>
    </row>
    <row r="6" spans="1:3" ht="24" x14ac:dyDescent="0.25">
      <c r="A6" s="7" t="s">
        <v>336</v>
      </c>
      <c r="B6" s="8" t="s">
        <v>397</v>
      </c>
      <c r="C6" s="8" t="s">
        <v>398</v>
      </c>
    </row>
    <row r="7" spans="1:3" x14ac:dyDescent="0.25">
      <c r="A7" s="20"/>
      <c r="B7" s="21"/>
      <c r="C7" s="21"/>
    </row>
    <row r="8" spans="1:3" ht="34.5" customHeight="1" x14ac:dyDescent="0.25">
      <c r="A8" s="7" t="s">
        <v>399</v>
      </c>
      <c r="B8" s="8" t="s">
        <v>400</v>
      </c>
      <c r="C8" s="21"/>
    </row>
    <row r="9" spans="1:3" ht="23.1" customHeight="1" x14ac:dyDescent="0.25">
      <c r="A9" s="7" t="s">
        <v>401</v>
      </c>
      <c r="B9" s="8" t="s">
        <v>402</v>
      </c>
      <c r="C9" s="21"/>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8"/>
  <sheetViews>
    <sheetView workbookViewId="0"/>
  </sheetViews>
  <sheetFormatPr defaultRowHeight="15" x14ac:dyDescent="0.25"/>
  <cols>
    <col min="1" max="1" width="4" customWidth="1"/>
    <col min="2" max="2" width="60" customWidth="1"/>
    <col min="3" max="3" width="18" customWidth="1"/>
    <col min="4" max="4" width="40" customWidth="1"/>
    <col min="5" max="7" width="26" customWidth="1"/>
  </cols>
  <sheetData>
    <row r="1" spans="1:7" x14ac:dyDescent="0.25">
      <c r="A1" s="19" t="s">
        <v>403</v>
      </c>
      <c r="B1" s="19" t="s">
        <v>404</v>
      </c>
      <c r="C1" s="19" t="s">
        <v>405</v>
      </c>
      <c r="D1" s="19" t="s">
        <v>406</v>
      </c>
      <c r="E1" s="19" t="s">
        <v>318</v>
      </c>
      <c r="F1" s="19" t="s">
        <v>407</v>
      </c>
      <c r="G1" s="19" t="s">
        <v>408</v>
      </c>
    </row>
    <row r="2" spans="1:7" ht="23.1" customHeight="1" x14ac:dyDescent="0.25">
      <c r="A2" s="8">
        <v>1</v>
      </c>
      <c r="B2" s="8" t="s">
        <v>409</v>
      </c>
      <c r="C2" s="8" t="s">
        <v>410</v>
      </c>
      <c r="D2" s="8" t="s">
        <v>411</v>
      </c>
      <c r="E2" s="9" t="s">
        <v>412</v>
      </c>
      <c r="F2" s="9"/>
      <c r="G2" s="9" t="s">
        <v>461</v>
      </c>
    </row>
    <row r="3" spans="1:7" ht="23.1" customHeight="1" x14ac:dyDescent="0.25">
      <c r="A3" s="8">
        <v>2</v>
      </c>
      <c r="B3" s="8" t="s">
        <v>413</v>
      </c>
      <c r="C3" s="8" t="s">
        <v>414</v>
      </c>
      <c r="D3" s="8" t="s">
        <v>415</v>
      </c>
      <c r="E3" s="9" t="s">
        <v>416</v>
      </c>
      <c r="F3" s="9"/>
      <c r="G3" s="9" t="s">
        <v>462</v>
      </c>
    </row>
    <row r="4" spans="1:7" ht="23.1" customHeight="1" x14ac:dyDescent="0.25">
      <c r="A4" s="8">
        <v>3</v>
      </c>
      <c r="B4" s="8" t="s">
        <v>417</v>
      </c>
      <c r="C4" s="8" t="s">
        <v>418</v>
      </c>
      <c r="D4" s="8" t="s">
        <v>419</v>
      </c>
      <c r="E4" s="9" t="s">
        <v>420</v>
      </c>
      <c r="F4" s="9"/>
      <c r="G4" s="9" t="s">
        <v>463</v>
      </c>
    </row>
    <row r="5" spans="1:7" ht="23.1" customHeight="1" x14ac:dyDescent="0.25">
      <c r="A5" s="8">
        <v>4</v>
      </c>
      <c r="B5" s="8" t="s">
        <v>421</v>
      </c>
      <c r="C5" s="8" t="s">
        <v>407</v>
      </c>
      <c r="D5" s="8" t="s">
        <v>422</v>
      </c>
      <c r="E5" s="9" t="s">
        <v>423</v>
      </c>
      <c r="F5" s="9"/>
      <c r="G5" s="9" t="s">
        <v>464</v>
      </c>
    </row>
    <row r="6" spans="1:7" ht="23.1" customHeight="1" x14ac:dyDescent="0.25">
      <c r="A6" s="8">
        <v>5</v>
      </c>
      <c r="B6" s="8" t="s">
        <v>424</v>
      </c>
      <c r="C6" s="8" t="s">
        <v>425</v>
      </c>
      <c r="D6" s="8" t="s">
        <v>426</v>
      </c>
      <c r="E6" s="9" t="s">
        <v>427</v>
      </c>
      <c r="F6" s="9"/>
      <c r="G6" s="9" t="s">
        <v>465</v>
      </c>
    </row>
    <row r="7" spans="1:7" ht="23.1" customHeight="1" x14ac:dyDescent="0.25">
      <c r="A7" s="8">
        <v>6</v>
      </c>
      <c r="B7" s="8" t="s">
        <v>428</v>
      </c>
      <c r="C7" s="8" t="s">
        <v>426</v>
      </c>
      <c r="D7" s="8" t="s">
        <v>429</v>
      </c>
      <c r="E7" s="9" t="s">
        <v>430</v>
      </c>
      <c r="F7" s="9"/>
      <c r="G7" s="9" t="s">
        <v>465</v>
      </c>
    </row>
    <row r="8" spans="1:7" ht="84" x14ac:dyDescent="0.25">
      <c r="A8" s="8">
        <v>7</v>
      </c>
      <c r="B8" s="8" t="s">
        <v>431</v>
      </c>
      <c r="C8" s="8" t="s">
        <v>432</v>
      </c>
      <c r="D8" s="8" t="s">
        <v>433</v>
      </c>
      <c r="E8" s="9" t="s">
        <v>434</v>
      </c>
      <c r="F8" s="9"/>
      <c r="G8" s="9" t="s">
        <v>466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 me</vt:lpstr>
      <vt:lpstr>Matrix</vt:lpstr>
      <vt:lpstr>Example — one stack</vt:lpstr>
      <vt:lpstr>States</vt:lpstr>
      <vt:lpstr>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Lee Arnold</cp:lastModifiedBy>
  <dcterms:created xsi:type="dcterms:W3CDTF">2026-10-11T22:59:42Z</dcterms:created>
  <dcterms:modified xsi:type="dcterms:W3CDTF">2026-10-11T23:24:21Z</dcterms:modified>
</cp:coreProperties>
</file>