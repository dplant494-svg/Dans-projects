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G:\00. FOR SACRED\"/>
    </mc:Choice>
  </mc:AlternateContent>
  <xr:revisionPtr revIDLastSave="0" documentId="8_{70EDC171-05AD-4F88-BC5D-C76F81FB43AF}" xr6:coauthVersionLast="47" xr6:coauthVersionMax="47" xr10:uidLastSave="{00000000-0000-0000-0000-000000000000}"/>
  <bookViews>
    <workbookView xWindow="-11115" yWindow="-18270" windowWidth="29040" windowHeight="17520" activeTab="4" xr2:uid="{00000000-000D-0000-FFFF-FFFF00000000}"/>
  </bookViews>
  <sheets>
    <sheet name="Read me" sheetId="1" r:id="rId1"/>
    <sheet name="Matrix" sheetId="2" r:id="rId2"/>
    <sheet name="Example — one stack" sheetId="3" r:id="rId3"/>
    <sheet name="States" sheetId="4" r:id="rId4"/>
    <sheet name="Questions" sheetId="5" r:id="rId5"/>
  </sheets>
  <definedNames>
    <definedName name="_xlnm._FilterDatabase" localSheetId="1" hidden="1">Matrix!$A$1:$P$62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3" l="1"/>
  <c r="I11" i="3" s="1"/>
  <c r="I9" i="3"/>
  <c r="I8" i="3"/>
  <c r="I7" i="3"/>
  <c r="I6" i="3"/>
  <c r="I5" i="3"/>
  <c r="I1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tools session</author>
  </authors>
  <commentList>
    <comment ref="L3" authorId="0" shapeId="0" xr:uid="{00000000-0006-0000-0100-000001000000}">
      <text>
        <r>
          <rPr>
            <sz val="11"/>
            <color theme="1"/>
            <rFont val="Calibri"/>
            <family val="2"/>
            <scheme val="minor"/>
          </rPr>
          <t>Example entry showing the expected format. Replace it with your own.</t>
        </r>
      </text>
    </comment>
  </commentList>
</comments>
</file>

<file path=xl/sharedStrings.xml><?xml version="1.0" encoding="utf-8"?>
<sst xmlns="http://schemas.openxmlformats.org/spreadsheetml/2006/main" count="1079" uniqueCount="468">
  <si>
    <t>PRE-DEPLOYMENT MATRIX — PROPOSAL FOR REVIEW</t>
  </si>
  <si>
    <t>For: Dan Plant and Lee Arnold (DL-1 planning tool). Reviewed first by the dashboard session. Prepared by the reporting-tools session, 12 October 2026.</t>
  </si>
  <si>
    <t>What this is</t>
  </si>
  <si>
    <t>The matrix is the working view of a BOP's pre-deployment status, filled in progressively from the day the BOP lands. It populates the pre-deployment checklist (FRM-00-0168 Rev 8), which all parties agree and sign off before the BOP is run.</t>
  </si>
  <si>
    <t>Every line below comes from what SSORT's pre-deployment checklist holds today (read off the live tool, SSORT REV 161), plus the nine pre-deployment surface tests. Nothing here is new content: it is today's checklist laid out as matrix rows, so it can be agreed before anything is built.</t>
  </si>
  <si>
    <t>Decisions already made (Dan, 12 Oct)</t>
  </si>
  <si>
    <t>1. The surface tests are done in SSORT once and linked to the plan as evidence. The pre-deployment checklist's primary is DL-1; SSORT keeps a copy for rigs on other templates or not yet on DL-1.</t>
  </si>
  <si>
    <t>2. Sign-off for now is each person's name typed on the checklist. Accountability comes from the pre-deployment call held per directive before the BOP is run, where the checklist is reviewed — with the difference that every relevant party has now seen the checklist beforehand.</t>
  </si>
  <si>
    <t>3. Not compulsory yet: templates differ by rig, and the full requirement goes to department review.</t>
  </si>
  <si>
    <t>The sheets</t>
  </si>
  <si>
    <t>Matrix — one row per kind of checklist line, with what makes it complete and where the evidence comes from. THE SHEET TO REVIEW.</t>
  </si>
  <si>
    <t>Example — one stack — the matrix expanded for one 7-cavity stack, with example states and a live progress summary, to show "status as we go".</t>
  </si>
  <si>
    <t>States — the five states a line can be in, and the sign-off rule.</t>
  </si>
  <si>
    <t>Questions — the points still open, for Dan, Lee and the dashboard to answer.</t>
  </si>
  <si>
    <t>How to review (legend)</t>
  </si>
  <si>
    <t>Pale yellow cells are for you: "Agree?" (pick Yes / No / Change) and the comment column with your name. Everything else is the proposal — please do not overwrite it; put changes in your comment column.</t>
  </si>
  <si>
    <t>Order: the dashboard comments first (its column is ready), then Dan sends to Lee.</t>
  </si>
  <si>
    <t>Line</t>
  </si>
  <si>
    <t>Section</t>
  </si>
  <si>
    <t>Checklist line</t>
  </si>
  <si>
    <t>One row per</t>
  </si>
  <si>
    <t>Evidence / what is recorded</t>
  </si>
  <si>
    <t>Complete when</t>
  </si>
  <si>
    <t>N/A allowed?</t>
  </si>
  <si>
    <t>Updated by</t>
  </si>
  <si>
    <t>From</t>
  </si>
  <si>
    <t>In SSORT today (keys)</t>
  </si>
  <si>
    <t>Agree? (Dashboard)</t>
  </si>
  <si>
    <t>Dashboard comment</t>
  </si>
  <si>
    <t>Agree? (Dan)</t>
  </si>
  <si>
    <t>Dan comment</t>
  </si>
  <si>
    <t>Agree? (Lee)</t>
  </si>
  <si>
    <t>Lee comment</t>
  </si>
  <si>
    <t>A · Header</t>
  </si>
  <si>
    <t>A-01</t>
  </si>
  <si>
    <t>Header</t>
  </si>
  <si>
    <t>Rig, well, BOP stack, date</t>
  </si>
  <si>
    <t>checklist</t>
  </si>
  <si>
    <t>From the plan (rig, BOP) and the well</t>
  </si>
  <si>
    <t>All four filled</t>
  </si>
  <si>
    <t>No</t>
  </si>
  <si>
    <t>Plan (auto)</t>
  </si>
  <si>
    <t>Plan created</t>
  </si>
  <si>
    <t>pdc_rig, pdc_well, pdc_stack, pdc_date</t>
  </si>
  <si>
    <t>Yes</t>
  </si>
  <si>
    <t>B · The checklist items (FRM-00-0168 Rev 8)</t>
  </si>
  <si>
    <t>B-01</t>
  </si>
  <si>
    <t>Item</t>
  </si>
  <si>
    <t>Has the BTW maintenance been completed within the projected timeline?</t>
  </si>
  <si>
    <t>Yes / No + remarks: If no, please state why.</t>
  </si>
  <si>
    <t>Answered (remarks given where the prompt asks)</t>
  </si>
  <si>
    <t>Yes, with reason</t>
  </si>
  <si>
    <t>SS Supervisor / TSL</t>
  </si>
  <si>
    <t>BOP lands</t>
  </si>
  <si>
    <t>pdc_1_resp, pdc_1_rem</t>
  </si>
  <si>
    <t>SACRED can pre-answer from the plan: timeline met = plan-progress finish vs baseline (planVariance). Pre-population is a suggestion the SS Supervisor confirms, never an auto-answer.</t>
  </si>
  <si>
    <t>B-02</t>
  </si>
  <si>
    <t>Was any break-in work required during the maintenance period?</t>
  </si>
  <si>
    <t>Yes / No + remarks: If yes, please specify what and outline impact on timeline.</t>
  </si>
  <si>
    <t>pdc_2_resp, pdc_2_rem</t>
  </si>
  <si>
    <t>SACRED already holds every break-in from the planning report (breakins[]) and, from REV 11, scope changes by scopeVersion. Pre-answer Yes/No with the list; crew confirms.</t>
  </si>
  <si>
    <t>B-03</t>
  </si>
  <si>
    <t>Have all CM's and known deficiencies been repaired with corresponding work orders closed out?</t>
  </si>
  <si>
    <t>Yes / No + remarks: If no, please state details.</t>
  </si>
  <si>
    <t>pdc_3_resp, pdc_3_rem</t>
  </si>
  <si>
    <t>Change</t>
  </si>
  <si>
    <t>Split the evidence: "all CMs closed" can be shown from plan_progress (every maintenance task 100 %) and open deferrals (plan_deferrals); the answer stays the crew's. Suggest the line shows "n WOs open, m deferred" beside the Yes/No.</t>
  </si>
  <si>
    <t>B-04</t>
  </si>
  <si>
    <t>Have there been any modifications or upgrades made during the maintenance period?</t>
  </si>
  <si>
    <t>Yes / No + remarks: If yes, please state Synergi NC or MOC number.</t>
  </si>
  <si>
    <t>pdc_4_resp, pdc_4_rem</t>
  </si>
  <si>
    <t>B-05</t>
  </si>
  <si>
    <t>Is there an approved riser analysis and WSOG available?</t>
  </si>
  <si>
    <t>Yes / No</t>
  </si>
  <si>
    <t>Answered</t>
  </si>
  <si>
    <t>pdc_5_resp, pdc_5_rem</t>
  </si>
  <si>
    <t>B-06</t>
  </si>
  <si>
    <t>Have all subsea accumulators been pre-charged to the pressures as per TSC recommendation? Can rig team confirm that all charging valves are in situ?</t>
  </si>
  <si>
    <t>pdc_6_resp, pdc_6_rem</t>
  </si>
  <si>
    <t>B-07</t>
  </si>
  <si>
    <t>Is a BOP hop planned during the deployment?</t>
  </si>
  <si>
    <t>Yes / No + remarks: If yes, does the rig have an approved riser analysis and pre-charge plan for this/these depths.</t>
  </si>
  <si>
    <t>pdc_7_resp, pdc_7_rem</t>
  </si>
  <si>
    <t>B-08</t>
  </si>
  <si>
    <t>What is the inclination and the diameter of the High Press Wellhead Housing (HPWH)?</t>
  </si>
  <si>
    <t>Free text answer</t>
  </si>
  <si>
    <t>pdc_8_resp, pdc_8_rem</t>
  </si>
  <si>
    <t>B-09</t>
  </si>
  <si>
    <t>Has the BOP control cycle count been re-set? If a dual stack and stacks have been swapped, have we accounted for simulator functions?</t>
  </si>
  <si>
    <t>pdc_9_resp, pdc_9_rem</t>
  </si>
  <si>
    <t>B-10</t>
  </si>
  <si>
    <t>Have any of the main wellbore elastomers been changed out?</t>
  </si>
  <si>
    <t>Yes / No + remarks: If yes, please state which components, how many closures they had, and elastomer information on the sheet below.</t>
  </si>
  <si>
    <t>pdc_10_resp, pdc_10_rem</t>
  </si>
  <si>
    <t>B-11</t>
  </si>
  <si>
    <t>Is the subsea team aware of testing requirements during the BOP deployment and post BOP land out?</t>
  </si>
  <si>
    <t>pdc_11_resp, pdc_11_rem</t>
  </si>
  <si>
    <t>B-12</t>
  </si>
  <si>
    <t>Is the BOP control system clear of all alarms and faults?</t>
  </si>
  <si>
    <t>pdc_12_resp, pdc_12_rem</t>
  </si>
  <si>
    <t>Evidence is E-04 (EWS pages). Suggest B-12 auto-reads Complete when E-04 is Complete and "clear of alarms".</t>
  </si>
  <si>
    <t>B-13</t>
  </si>
  <si>
    <t>Are the Electrical and Marine departments aware of the requirements and procedure when re-calibrating the stack ERA's?</t>
  </si>
  <si>
    <t>pdc_13_resp, pdc_13_rem</t>
  </si>
  <si>
    <t>B-14</t>
  </si>
  <si>
    <t>Are the rig team aware of the importance to monitor Mux cables at all times when machinery moves in the moon pool? How is this managed? Has the Mux Cable management video been watched by all to be involved in the task?</t>
  </si>
  <si>
    <t>pdc_14_resp, pdc_14_rem</t>
  </si>
  <si>
    <t>B-15</t>
  </si>
  <si>
    <t>Are the Subsea team following requirements as per TB-WCE-73 (AAB C10078078) when reporting BOP/Pod Control Change outs?</t>
  </si>
  <si>
    <t>pdc_15_resp, pdc_15_rem</t>
  </si>
  <si>
    <t>B-16</t>
  </si>
  <si>
    <t>During the maintenance period was there a need to urgently transfer/ship parts? (including taking parts from the offline stack if dual stack rig)</t>
  </si>
  <si>
    <t>Yes / No + remarks: If yes, please state details.</t>
  </si>
  <si>
    <t>pdc_16_resp, pdc_16_rem</t>
  </si>
  <si>
    <t>B-17</t>
  </si>
  <si>
    <t>Are there any overdue AAB's relevant to Well Control?</t>
  </si>
  <si>
    <t>pdc_17_resp, pdc_17_rem</t>
  </si>
  <si>
    <t>B-18</t>
  </si>
  <si>
    <t>Is there sufficient riser torque tools available with sufficient spares?</t>
  </si>
  <si>
    <t>pdc_18_resp, pdc_18_rem</t>
  </si>
  <si>
    <t>B-19</t>
  </si>
  <si>
    <t>Has the BOP handling equipment been function tested and is there any known deficiencies?</t>
  </si>
  <si>
    <t>pdc_19_resp, pdc_19_rem</t>
  </si>
  <si>
    <t>B-20</t>
  </si>
  <si>
    <t>Was someone from TSC well control equipment group onboard to assist during the BTW period?</t>
  </si>
  <si>
    <t>pdc_20_resp, pdc_20_rem</t>
  </si>
  <si>
    <t>B-M1</t>
  </si>
  <si>
    <t>Are any milling operations planned in the upcoming drilling program?</t>
  </si>
  <si>
    <t>Yes / No + remarks: Raised at the West Neptune MPR investigation closeout. Milling debris is a known threat to ram packers and door sealing faces, and the BOP crew need to know before the stack goes in the water. If Yes, record what is planned and when in Remarks.</t>
  </si>
  <si>
    <t>pdc_M1_resp, pdc_M1_rem</t>
  </si>
  <si>
    <t>C · BOP configuration and stack</t>
  </si>
  <si>
    <t>C-01</t>
  </si>
  <si>
    <t>BOP config</t>
  </si>
  <si>
    <t>BOP designation, manufacturer, number of cavities, status</t>
  </si>
  <si>
    <t>stack</t>
  </si>
  <si>
    <t>Selections</t>
  </si>
  <si>
    <t>All four set</t>
  </si>
  <si>
    <t>SS Supervisor</t>
  </si>
  <si>
    <t>pdcbop_desig, pdcbop_s&lt;s&gt;_mfr / _cav / _status</t>
  </si>
  <si>
    <t>C-02</t>
  </si>
  <si>
    <t>Stack table</t>
  </si>
  <si>
    <t>Annular / connector position: position, specification, install date, part no., serial no., cycle count</t>
  </si>
  <si>
    <t>position (UA, RC, LA, WHC)</t>
  </si>
  <si>
    <t>Recorded values</t>
  </si>
  <si>
    <t>All fields filled</t>
  </si>
  <si>
    <t>SS Engineer</t>
  </si>
  <si>
    <t>pdcbop_s&lt;s&gt;_r&lt;i&gt;_pos / _spec / _install / _pn / _serial / _cycles</t>
  </si>
  <si>
    <t>Part and serial numbers for annulars and connectors are on the CoC tracker (Maximo extract) per rig and position; install dates from the CBM posts. Suggest SACRED pre-fills and the crew corrects; the slot/position must be a key, not free text (Q2 applies here too).</t>
  </si>
  <si>
    <t>C-03</t>
  </si>
  <si>
    <t>Ram cavity position: position, specification, install date, FWD and AFT packer part / serial, cycle count</t>
  </si>
  <si>
    <t>cavity</t>
  </si>
  <si>
    <t>pdcbop_s&lt;s&gt;_r&lt;i&gt;_pos / _spec / _install / _pnf / _pna / _snf / _sna / _cycles</t>
  </si>
  <si>
    <t>C-04</t>
  </si>
  <si>
    <t>Ram packers</t>
  </si>
  <si>
    <t>All ram packers installed correctly and orientation confirmed</t>
  </si>
  <si>
    <t>Yes / No + remarks</t>
  </si>
  <si>
    <t>Rams closed up</t>
  </si>
  <si>
    <t>pdcbop_s&lt;s&gt;_packers_ok, _packers_rem</t>
  </si>
  <si>
    <t>D · Photographic evidence (the SSORT post gate counts these)</t>
  </si>
  <si>
    <t>D-01</t>
  </si>
  <si>
    <t>Photographs</t>
  </si>
  <si>
    <t>Ram packer photographs, FWD and AFT</t>
  </si>
  <si>
    <t>2 photographs, slot-labelled (e.g. "UBSR — FWD")</t>
  </si>
  <si>
    <t>Both present</t>
  </si>
  <si>
    <t>Rams pulled</t>
  </si>
  <si>
    <t>pdcbop_s&lt;s&gt;_ph_rams</t>
  </si>
  <si>
    <t>D-02</t>
  </si>
  <si>
    <t>Cavity sealing face photographs, FWD and AFT</t>
  </si>
  <si>
    <t>2 photographs, slot-labelled</t>
  </si>
  <si>
    <t>pdcbop_s&lt;s&gt;_ph_cavities</t>
  </si>
  <si>
    <t>D-03</t>
  </si>
  <si>
    <t>Door sealing face photographs, FWD and AFT</t>
  </si>
  <si>
    <t>pdcbop_s&lt;s&gt;_ph_doors</t>
  </si>
  <si>
    <t>E · Electrical</t>
  </si>
  <si>
    <t>E-01</t>
  </si>
  <si>
    <t>Electrical</t>
  </si>
  <si>
    <t>All electrical checks completed per Guidelines for Pre-Deployment – Checklist</t>
  </si>
  <si>
    <t>Electrical Supervisor</t>
  </si>
  <si>
    <t>Before tests</t>
  </si>
  <si>
    <t>pdc_elec_checks_resp, _rem</t>
  </si>
  <si>
    <t>E-02</t>
  </si>
  <si>
    <t>Riser Anti Recoil Relay installed (RARS) — circuit ref RL-1-EDS</t>
  </si>
  <si>
    <t>Tick</t>
  </si>
  <si>
    <t>Ticked</t>
  </si>
  <si>
    <t>pdc_elec_rars_relay</t>
  </si>
  <si>
    <t>E-03</t>
  </si>
  <si>
    <t>RARS terminal spades installed in Drill Floor LIR Wireline Riser Tensioner Cabinet</t>
  </si>
  <si>
    <t>pdc_elec_rars_spades</t>
  </si>
  <si>
    <t>E-04</t>
  </si>
  <si>
    <t>BOP EWS alarm &amp; fault pages</t>
  </si>
  <si>
    <t>Photographs (up to 6)</t>
  </si>
  <si>
    <t>At least one, clear of alarms or explained</t>
  </si>
  <si>
    <t>Before deployment</t>
  </si>
  <si>
    <t>pdc_elec_ph_ews</t>
  </si>
  <si>
    <t>Photographs attached in the plan or linked from a SSORT post; SACRED files them under 07 Photos.</t>
  </si>
  <si>
    <t>E-05</t>
  </si>
  <si>
    <t>Insulation impedance screen</t>
  </si>
  <si>
    <t>Photographs (up to 4)</t>
  </si>
  <si>
    <t>At least one</t>
  </si>
  <si>
    <t>pdc_elec_ph_ir</t>
  </si>
  <si>
    <t>As E-04.</t>
  </si>
  <si>
    <t>E-06</t>
  </si>
  <si>
    <t>Fibre signal strengths</t>
  </si>
  <si>
    <t>pdc_elec_ph_fibre</t>
  </si>
  <si>
    <t>F · Pre-deployment surface tests (entry 62.4)</t>
  </si>
  <si>
    <t>F-01</t>
  </si>
  <si>
    <t>Surface test</t>
  </si>
  <si>
    <t>FUNCTION TEST</t>
  </si>
  <si>
    <t>SSORT Surface BOP Testing · BOP Function Test, linked</t>
  </si>
  <si>
    <t>Evidence linked / attached</t>
  </si>
  <si>
    <t>Testing</t>
  </si>
  <si>
    <t>Linked SSORT record (seadrill-planlink_) or attachment</t>
  </si>
  <si>
    <t>Evidence linked: the scanner reads the seadrill-planlink_ record (v2.89) and marks the task Evidence linked; the BOP panel shows it.</t>
  </si>
  <si>
    <t>F-02</t>
  </si>
  <si>
    <t>SOAK</t>
  </si>
  <si>
    <t>SSORT · Soak Test, linked</t>
  </si>
  <si>
    <t>As F-01.</t>
  </si>
  <si>
    <t>F-03</t>
  </si>
  <si>
    <t>DRAWDOWN</t>
  </si>
  <si>
    <t>SSORT · Surface Drawdown Test, linked</t>
  </si>
  <si>
    <t>F-04</t>
  </si>
  <si>
    <t>ACOUSTIC</t>
  </si>
  <si>
    <t>SSORT · Acoustic Function Testing, linked</t>
  </si>
  <si>
    <t>Yes — no acoustic system on West Vela, West Neptune, Sevan Louisiana</t>
  </si>
  <si>
    <t>N/A on West Vela, West Neptune, Sevan Louisiana: SACRED can set N/A automatically from the rig (no acoustic system), reason pre-filled.</t>
  </si>
  <si>
    <t>F-05</t>
  </si>
  <si>
    <t>ROV</t>
  </si>
  <si>
    <t>SSORT · ROV Function Testing, linked</t>
  </si>
  <si>
    <t>F-06</t>
  </si>
  <si>
    <t>EDS</t>
  </si>
  <si>
    <t>SSORT · EDS Testing, linked</t>
  </si>
  <si>
    <t>F-07</t>
  </si>
  <si>
    <t>EHBS</t>
  </si>
  <si>
    <t>SSORT · EHBS Testing, linked</t>
  </si>
  <si>
    <t>F-08</t>
  </si>
  <si>
    <t>PRESSURE TEST</t>
  </si>
  <si>
    <t>Test charts (digital or analogue) attached in the plan</t>
  </si>
  <si>
    <t>(none — attachment in the plan)</t>
  </si>
  <si>
    <t>Attachment in the plan (plan-evidence post); SACRED files it under 03 Testing and marks Evidence linked.</t>
  </si>
  <si>
    <t>F-09</t>
  </si>
  <si>
    <t>DRIFT</t>
  </si>
  <si>
    <t>Drift record attached in the plan</t>
  </si>
  <si>
    <t>As F-08.</t>
  </si>
  <si>
    <t>G · Non-compliance, exemption</t>
  </si>
  <si>
    <t>G-01</t>
  </si>
  <si>
    <t>Non-compliance</t>
  </si>
  <si>
    <t>Potential non-compliance / non-completion of PMs: description, reason, Synergi MOC/NC or MAXIMO NC no.</t>
  </si>
  <si>
    <t>entry</t>
  </si>
  <si>
    <t>Rows as needed</t>
  </si>
  <si>
    <t>Each row has a reference, or "none" stated</t>
  </si>
  <si>
    <t>n/a</t>
  </si>
  <si>
    <t>TSL</t>
  </si>
  <si>
    <t>Any time</t>
  </si>
  <si>
    <t>pdc_nc_r&lt;i&gt;_desc / _reason / _ref</t>
  </si>
  <si>
    <t>G-02</t>
  </si>
  <si>
    <t>Exemption</t>
  </si>
  <si>
    <t>Comments in case of exemption from the above</t>
  </si>
  <si>
    <t>Text</t>
  </si>
  <si>
    <t>Filled when any line is N/A or No</t>
  </si>
  <si>
    <t>Before sign-off</t>
  </si>
  <si>
    <t>pdc_exempt</t>
  </si>
  <si>
    <t>H · Agreement and sign-off</t>
  </si>
  <si>
    <t>H-01</t>
  </si>
  <si>
    <t>Acknowledgement</t>
  </si>
  <si>
    <t>All participants have reviewed the completed work and agree the BOP is suitable for deployment</t>
  </si>
  <si>
    <t>Sign-off</t>
  </si>
  <si>
    <t>pdc_ack</t>
  </si>
  <si>
    <t>H-02</t>
  </si>
  <si>
    <t>TSL — name and date</t>
  </si>
  <si>
    <t>Name and date given</t>
  </si>
  <si>
    <t>pdc_so0_name, pdc_so0_date</t>
  </si>
  <si>
    <t>H-03</t>
  </si>
  <si>
    <t>SS Supervisor — name and date</t>
  </si>
  <si>
    <t>pdc_so1_name, pdc_so1_date</t>
  </si>
  <si>
    <t>As H-02.</t>
  </si>
  <si>
    <t>H-04</t>
  </si>
  <si>
    <t>Rig Manager — name and date</t>
  </si>
  <si>
    <t>Rig Manager</t>
  </si>
  <si>
    <t>pdc_so2_name, pdc_so2_date</t>
  </si>
  <si>
    <t>H-05</t>
  </si>
  <si>
    <t>Operations Director — name and date</t>
  </si>
  <si>
    <t>Operations Director</t>
  </si>
  <si>
    <t>pdc_so3_name, pdc_so3_date</t>
  </si>
  <si>
    <t>H-06</t>
  </si>
  <si>
    <t>Well Control Equipment Manager — name and date</t>
  </si>
  <si>
    <t>Well Control Equipment Manager</t>
  </si>
  <si>
    <t>pdc_so4_name, pdc_so4_date</t>
  </si>
  <si>
    <t>H-07</t>
  </si>
  <si>
    <t>Pre-deployment call</t>
  </si>
  <si>
    <t>Pre-deployment call held per directive; checklist reviewed with all parties before the BOP is run</t>
  </si>
  <si>
    <t>Date / time of the call, attendees</t>
  </si>
  <si>
    <t>Call held</t>
  </si>
  <si>
    <t>Before running</t>
  </si>
  <si>
    <t>(new — not in SSORT today)</t>
  </si>
  <si>
    <t>Agreed as a line, and SACRED can record it: the pre-deployment call date, attendees and outcome posted from the Help Centre (the same page as the plan review), which also sends the "ready to run" notice to the Planning audience. The checklist snapshot at that moment is kept as the signed version.</t>
  </si>
  <si>
    <t>Dashboard</t>
  </si>
  <si>
    <t>General (dashboard session, 12 Oct)</t>
  </si>
  <si>
    <t>1) Add a sixth state, "Pre-filled (confirm)": SACRED can populate a third of the lines from what it already holds (plan, progress, deferrals, break-ins, AAB register, precharge sheets, CBM posts, SSCE requests, rig visits), but a pre-filled answer is never Complete until the line's owner confirms it. 2) Evidence for D-01 to D-03 and C-02/C-03 already exists in the CBM inspection posts; linking them avoids photographing every packer twice. 3) One checklist per stack = one planId (Q1): the scanner keys everything by planId already. 4) The matrix state per line is what the scanner writes to pdc state and the BOP panel shows; DL-1 reads it back (not compulsory, Dan). 5) H-07 is where the "ready to run" notification fires.</t>
  </si>
  <si>
    <t>EXAMPLE — West Vela BOP1, 7 cavities (illustrative states only, not real data)</t>
  </si>
  <si>
    <t>The matrix expanded for one stack: each "per cavity" / "per position" line becomes one row per cavity / position. States are examples showing "status as we go"; the summary on the right recalculates as states change.</t>
  </si>
  <si>
    <t>State</t>
  </si>
  <si>
    <t>Evidence</t>
  </si>
  <si>
    <t>Updated</t>
  </si>
  <si>
    <t>Progress (recalculates)</t>
  </si>
  <si>
    <t>Complete</t>
  </si>
  <si>
    <t>From the plan</t>
  </si>
  <si>
    <t>Plan</t>
  </si>
  <si>
    <t>05-Oct</t>
  </si>
  <si>
    <t>Not started</t>
  </si>
  <si>
    <t>In progress</t>
  </si>
  <si>
    <t>Have all CM's and known deficiencies been repaired with corresponding …</t>
  </si>
  <si>
    <t>Evidence linked</t>
  </si>
  <si>
    <t>Have there been any modifications or upgrades made during the maintena…</t>
  </si>
  <si>
    <t>N/A (reason)</t>
  </si>
  <si>
    <t>Lines in total</t>
  </si>
  <si>
    <t>Have all subsea accumulators been pre-charged to the pressures as per …</t>
  </si>
  <si>
    <t>Done (complete, evidence linked or N/A)</t>
  </si>
  <si>
    <t>Ready to sign?</t>
  </si>
  <si>
    <t>What is the inclination and the diameter of the High Press Wellhead Ho…</t>
  </si>
  <si>
    <t>Has the BOP control cycle count been re-set? If a dual stack and stack…</t>
  </si>
  <si>
    <t>Rule: signing opens only when no line is Not started or In progress (States sheet).</t>
  </si>
  <si>
    <t>Is the subsea team aware of testing requirements during the BOP deploy…</t>
  </si>
  <si>
    <t>Are the Electrical and Marine departments aware of the requirements an…</t>
  </si>
  <si>
    <t>Are the rig team aware of the importance to monitor Mux cables at all …</t>
  </si>
  <si>
    <t>Are the Subsea team following requirements as per TB-WCE-73 (AAB C1007…</t>
  </si>
  <si>
    <t>During the maintenance period was there a need to urgently transfer/sh…</t>
  </si>
  <si>
    <t>Is there sufficient riser torque tools available with sufficient spare…</t>
  </si>
  <si>
    <t>Has the BOP handling equipment been function tested and is there any k…</t>
  </si>
  <si>
    <t>Was someone from TSC well control equipment group onboard to assist du…</t>
  </si>
  <si>
    <t>BOP designation, manufacturer, cavities, status</t>
  </si>
  <si>
    <t>Stack table — UA</t>
  </si>
  <si>
    <t>Stack table — RC</t>
  </si>
  <si>
    <t>Stack table — LA</t>
  </si>
  <si>
    <t>Stack table — UBSR</t>
  </si>
  <si>
    <t>Stack table — CSR</t>
  </si>
  <si>
    <t>Stack table — LBSR</t>
  </si>
  <si>
    <t>Stack table — UPR</t>
  </si>
  <si>
    <t>Stack table — MPR</t>
  </si>
  <si>
    <t>Stack table — LPR</t>
  </si>
  <si>
    <t>Stack table — TPR</t>
  </si>
  <si>
    <t>Stack table — WHC</t>
  </si>
  <si>
    <t>Ram packers installed and orientation confirmed</t>
  </si>
  <si>
    <t>D-01..03</t>
  </si>
  <si>
    <t>Photographs — UBSR (ram packer, cavity face, door face; FWD + AFT)</t>
  </si>
  <si>
    <t>6 of 6 photographs</t>
  </si>
  <si>
    <t>Photographs — CSR (ram packer, cavity face, door face; FWD + AFT)</t>
  </si>
  <si>
    <t>Photographs — LBSR (ram packer, cavity face, door face; FWD + AFT)</t>
  </si>
  <si>
    <t>Photographs — UPR (ram packer, cavity face, door face; FWD + AFT)</t>
  </si>
  <si>
    <t>3 of 6 photographs</t>
  </si>
  <si>
    <t>Photographs — MPR (ram packer, cavity face, door face; FWD + AFT)</t>
  </si>
  <si>
    <t>Photographs — LPR (ram packer, cavity face, door face; FWD + AFT)</t>
  </si>
  <si>
    <t>0 of 6 photographs</t>
  </si>
  <si>
    <t>Photographs — TPR (ram packer, cavity face, door face; FWD + AFT)</t>
  </si>
  <si>
    <t>No acoustic system on West Vela</t>
  </si>
  <si>
    <t>Electrical checks</t>
  </si>
  <si>
    <t>RARS relay</t>
  </si>
  <si>
    <t>RARS spades</t>
  </si>
  <si>
    <t>EWS pages</t>
  </si>
  <si>
    <t>IR screen</t>
  </si>
  <si>
    <t>Fibre signal</t>
  </si>
  <si>
    <t>Non-compliance / PMs</t>
  </si>
  <si>
    <t>Exemption comments</t>
  </si>
  <si>
    <t>Sign-off — TSL</t>
  </si>
  <si>
    <t>Sign-off — SS Supervisor</t>
  </si>
  <si>
    <t>Sign-off — Rig Manager</t>
  </si>
  <si>
    <t>Sign-off — Operations Director</t>
  </si>
  <si>
    <t>Sign-off — Well Control Equipment Manager</t>
  </si>
  <si>
    <t>Pre-deployment call per directive</t>
  </si>
  <si>
    <t>Meaning</t>
  </si>
  <si>
    <t>Counts as closed for sign-off?</t>
  </si>
  <si>
    <t>Nothing recorded yet</t>
  </si>
  <si>
    <t>Partly recorded (e.g. 3 of 6 photographs)</t>
  </si>
  <si>
    <t>Recorded in full in the checklist</t>
  </si>
  <si>
    <t>A SSORT record or an attachment is linked as the evidence (surface tests)</t>
  </si>
  <si>
    <t>Does not apply on this rig / stack, with the reason written (e.g. no acoustic system)</t>
  </si>
  <si>
    <t>Yes — the reason is listed at sign-off</t>
  </si>
  <si>
    <t>Sign-off rule</t>
  </si>
  <si>
    <t>The checklist can be signed only when every line is Complete, Evidence linked or N/A (reason). Sign-off is the typed name and date of each of the five roles (for now). The checklist is then reviewed at the pre-deployment call held per directive before the BOP is run.</t>
  </si>
  <si>
    <t>Floor for "complete"</t>
  </si>
  <si>
    <t>Never less than SSORT's post gate today: designation set, cavities chosen, ram packers confirmed Yes, and cavities × 2 photographs in each of the three photograph sections.</t>
  </si>
  <si>
    <t>#</t>
  </si>
  <si>
    <t>Question</t>
  </si>
  <si>
    <t>For</t>
  </si>
  <si>
    <t>Proposed answer</t>
  </si>
  <si>
    <t>Dan</t>
  </si>
  <si>
    <t>Lee</t>
  </si>
  <si>
    <t>One checklist per stack on DL-1 (one plan per stack), where SSORT holds both stacks of a dual rig in one checklist?</t>
  </si>
  <si>
    <t>Lee, dashboard</t>
  </si>
  <si>
    <t>Yes: a DL-1 checklist is one stack; SSORT dual copies split by stack</t>
  </si>
  <si>
    <t>Yes. One plan per stack is already how DL-1 posts and how the scanner keys (planId = rig-BOP-date). A dual rig has two checklists; SSORT's dual copy splits by stack on link.</t>
  </si>
  <si>
    <t>Add a "slot" field to each photograph (e.g. "UBSR — FWD"), so the slot no longer depends on an editable caption?</t>
  </si>
  <si>
    <t>Lee, tools</t>
  </si>
  <si>
    <t>Yes, in both tools</t>
  </si>
  <si>
    <t>Yes, and in the plan too: the slot is the join key for a cavity photograph (UBSR-FWD), so the scanner can match a CBM photograph to a matrix row.</t>
  </si>
  <si>
    <t>Which lines may be N/A, and who may mark them?</t>
  </si>
  <si>
    <t>Dan, Lee</t>
  </si>
  <si>
    <t>As in the Matrix "N/A allowed?" column; marked by the line's owner, reason required</t>
  </si>
  <si>
    <t>As proposed. Add: SACRED may set N/A automatically where the rig has no such system (acoustic on Vela, Neptune, Louisiana), reason pre-filled, owner can override.</t>
  </si>
  <si>
    <t>Is H-07 (pre-deployment call per directive) a line on the checklist, recorded with date and attendees?</t>
  </si>
  <si>
    <t>Yes — it closes the loop the sign-off opens</t>
  </si>
  <si>
    <t>Yes. Recorded from the Help Centre (date, attendees, outcome) and it fires the ready-to-run notification to the Planning audience; the checklist snapshot at that moment is the signed version.</t>
  </si>
  <si>
    <t>Order of the five sign-offs, and can anyone delegate?</t>
  </si>
  <si>
    <t>Dan, department review</t>
  </si>
  <si>
    <t>Department review</t>
  </si>
  <si>
    <t>Department review. Dashboard note: the notification goes to each role in sign-off order only if the order is fixed; otherwise all five at once when the last line closes.</t>
  </si>
  <si>
    <t>Should the 21 items and the sign-offs become part of "complete" (SSORT does not require them to post today)?</t>
  </si>
  <si>
    <t>Decide at review; SSORT follows DL-1</t>
  </si>
  <si>
    <t>Department review. Dashboard note: whatever is decided, the scanner computes "ready to sign" from the matrix states, so changing the rule later is a rule change, not a rebuild.</t>
  </si>
  <si>
    <t>Which lines are visible to whom on the dashboard while in progress?</t>
  </si>
  <si>
    <t>Dashboard, Dan</t>
  </si>
  <si>
    <t>All lines visible to the rig, office and superintendents</t>
  </si>
  <si>
    <t>All lines visible to the rig, the office and the superintendents on the BOP dashboard's DL-1 panel and the Help Centre tab; edit rights stay with the line owner in DL-1 / SSORT; the dashboard is read-only.</t>
  </si>
  <si>
    <t>Pre-answer from the CBM inspection posts in the window (ram block / packer change-outs are CBM-graded items); crew confirms the elastomer table. Not all rigs have CBM but can pre answer from the ram configuration and install date with pictures at the beginning of the predeployment sheet.  (C-03).</t>
  </si>
  <si>
    <t>Pre-answer from SSCE requests in the window (ssce_requests per rig); crew confirms. This process is to be added to directive and needs to be in the AAR section, these IRT and rig transfers/hotshots are an AAR item.</t>
  </si>
  <si>
    <t xml:space="preserve">SACRED knows this exactly: the AAB register holds every Priority 3 AAB per rig with state (outstanding / partly acknowledged / overdue). Suggest the line is populated, not asked: "Overdue AABs: n" with the list, and the crew adds remarks only. Keep Yes/No for the form. Keep yes or no on the form but lees tool can also know the AAB status and will work this out. </t>
  </si>
  <si>
    <t>Agreed. SACRED fills rig, BOP and dates from the plan post (planId, bopNo, window); the well from the daily log if posted, else Checkbox yes/no, or equivilent checkbox labelling. .</t>
  </si>
  <si>
    <t>SACRED can list MOC references raised against the rig in the window if Lee's Synergi feed carries them; otherwise Checkbox yes/no, or equivilent checkbox labelling. .</t>
  </si>
  <si>
    <t>Checkbox yes/no, or equivilent checkbox labelling. ; no SACRED source.</t>
  </si>
  <si>
    <t>Checkbox yes/no, or equivilent checkbox labelling.  if there is no precharge info or th eprecharge is carried from the previous well but this can also be taken from precharge pro.</t>
  </si>
  <si>
    <t>Checkbox yes/no, or equivilent checkbox labelling. . Could later come from the well data if DL-1 carries it.</t>
  </si>
  <si>
    <t xml:space="preserve">Checkbox yes/no, or equivilent checkbox labelling. , future reiteration this can be taken from PLATO which is live data connected to the rigs BOP ssytem, all rigs except sevanlouisiana have this we can read anything in real time, API to be developed between plato and SACRED, put it in the plan. </t>
  </si>
  <si>
    <t>Checkbox yes/no, or equivilent checkbox labelling.  and directive to be added.</t>
  </si>
  <si>
    <t>Checkbox yes/no, or equivilent checkbox labelling. .</t>
  </si>
  <si>
    <t xml:space="preserve">Checkbox yes/no, or equivilent checkbox labelling. . AAB C10078078 acknowledgement state is on the AAB register; SACRED can show it beside the line. Lees tool can also show the status of the rigs AABs as it pulls them from maximo. </t>
  </si>
  <si>
    <t xml:space="preserve">Checkbox yes/no, or equivilent checkbox labelling.  and spares to be listed. </t>
  </si>
  <si>
    <t>Checkbox yes/no, or equivilent checkbox labelling. . And date</t>
  </si>
  <si>
    <t>Agreed as a line. Checkbox yes/no, or equivilent checkbox labelling. ; the drilling programme is outside SACRED.</t>
  </si>
  <si>
    <t>Same as C-02 for ram cavities: FWD and AFT packer part / serial come from the CBM inspection posts (SSORT 158 names them per block) and the tracker. Pre-fill, crew confirms. Cycle counts stay Checkbox yes/no, or equivilent checkbox labelling. .</t>
  </si>
  <si>
    <t>Checkbox yes/no, or equivilent checkbox labelling.  by the SS Supervisor; the D-01 photographs are its evidence.</t>
  </si>
  <si>
    <t>Checkbox yes/no, or equivilent checkbox labelling.  by the Electrical Supervisor; the ESVEmail column on the Rigs sheet is being filled so the line's owner gets the notification.</t>
  </si>
  <si>
    <t>Checkbox yes/no, or equivilent checkbox labelling.  tick.</t>
  </si>
  <si>
    <t>Checkbox yes/no, or equivilent checkbox labelling.  name and date (for now: Dan, 12 Oct)</t>
  </si>
  <si>
    <t>Checkbox yes/no, or equivilent checkbox labelling.  name and date, per Dan 12 Oct. The Help Centre's Plan Review tab (item 53) is where TSC verify the scope, not this sign-off; keep the two apart.</t>
  </si>
  <si>
    <t>Pre-answer from rig visit reports posted for the rig in the window (WCGRRT daily reports name the TSC visitor); crew confirms. Rig viit reports and display number of reports.</t>
  </si>
  <si>
    <t xml:space="preserve">From the plan (bopNo) and the Maximo asset tree (manufacturer, cavities) once item 45 reads the workbook SSORT 163 embeds. </t>
  </si>
  <si>
    <t xml:space="preserve">These photographs are already taken for the CBM inspection of each ram block (SSORT cbmData photos per cavity). Suggest the matrix accepts a linked CBM post as the evidence for the cavity (Link to plan on the CBM tile, entry 62 stage 4), so the crew does not photograph. the same packer twice. Slot-labelled, per Q2. Not all rigs do the CBM so they will have take photos themselves for this. </t>
  </si>
  <si>
    <t xml:space="preserve">Same as D-01: cavity sealing faces are photographed in the ram block CBM. Link, do not re-shoot.Not all rigs do the CBM so they will have take photos themselves for this. </t>
  </si>
  <si>
    <t xml:space="preserve">Same: door sealing faces are in the door assembly CBM.Not all rigs do the CBM so they will have take photos themselves for this. </t>
  </si>
  <si>
    <t>As F-01.or manual upload due to some rigs not manditory using SSORT</t>
  </si>
  <si>
    <t xml:space="preserve">Agreed. SACRED can pre-list the deferred work orders (plan_deferrals with reason) as candidate rows; TSL confirms or adds. Lee Also has the synergi cases in the planning tool and maximo NCs. </t>
  </si>
  <si>
    <t>Take it from the tol with the planning number auto generated.</t>
  </si>
  <si>
    <t>All PMs are shown in the plan, anything not completed will need an approved non confiormity.</t>
  </si>
  <si>
    <t xml:space="preserve">Modifcations will have a WO and MOC which will poulate in the plan as a task. </t>
  </si>
  <si>
    <t>SACRED holds every issued precharge sheet per rig and BOP (precharge inbox, bop + saved). Pre-answer Yes with the sheet date and link; crew confirms the charging valves. precharge will be sent in precharge pro and attached to predeployment, can add bwm identifyer to precharge pro if required to link.  Suggest evidence = the issued sheet.we have precharge pro, we can add a line in precharge pro and we can add a number in here from the planning tool, non manditory for precharge pro and it will add the precharge to the predeployment folder. which we are automatically going to create and should be inth edsshboard plan.</t>
  </si>
  <si>
    <t>Checkbox yes/no, or equivilent checkbox labelling. .directive nuber</t>
  </si>
  <si>
    <t>BOP controls training guide been acknowledged? Confirm toolbox talk?</t>
  </si>
  <si>
    <t xml:space="preserve">SACRED knows this exactly: the AAB register holds every Priority 3 AAB per rig with state (outstanding / partly acknowledged / overdue). Suggest the line is populated, not asked: "Overdue AABs: n" with the list, and the crew adds remarks only. Keep Yes/No for the form. Keep yes or no on the form but lees tool can also know the AAB status and will work this out. AAbs will also have a task in the plan if they are to be conducted.  </t>
  </si>
  <si>
    <t>Verification that the tools are in compliance with AAB C10247907.</t>
  </si>
  <si>
    <t>sss-007 DIRECTIVE DIR-37-0165, Needs to be an offline task in all plans, so when marked 100% this can auto polulate.</t>
  </si>
  <si>
    <t xml:space="preserve">Pre-answer from rig visit reports posted for the rig in the window (WCGRRT daily reports name the TSC visitor); crew confirms. Rig viit reports and display number of reports. And auto populate who was there. </t>
  </si>
  <si>
    <t xml:space="preserve">if yes follow up required in AAR and needs to be in scope challenge for next BWM. Also add a line in every scope challenge was any milling conducted in the previous well or durin the current campaign as this triggers an inspection of annular incurring additional time. i will provide directive. </t>
  </si>
  <si>
    <t xml:space="preserve">try and see how it looks in the auto population we may need to do this manually. </t>
  </si>
  <si>
    <t xml:space="preserve">cyclcle counts manual now but will come from PLATO. Install date can take from sorrt, this is mportant ill see how this populates and adjust. PLATO will give us dry fire and wet fire, based on our logic and constraints along with non main control system testing such as acoustic. Add to plan for plato integration scope. </t>
  </si>
  <si>
    <t xml:space="preserve">This will be visual of the rams rubbers installed in the block s and the install date, PN/SN. Take this from wherever but may need to be manual input. </t>
  </si>
  <si>
    <t>as C-04 not all rigs CBM</t>
  </si>
  <si>
    <t xml:space="preserve">may need to be manual input at specific date as close to completion of th epre deployment as possible to complete the form, but before the deployment call. Photos normally come from daily checks which are suspended during BWM. Photos are to be retaken after BOP is deployed in th ewater during testing of the 1st double riser joints. </t>
  </si>
  <si>
    <t xml:space="preserve">Agreed. SACRED can pre-list the deferred work orders (plan_deferrals with reason) as candidate rows; TSL confirms or adds. Lee Also has the synergi cases in the planning tool and maximo NCs. May need additonal manual input. When you hand this off to lee please ask his claude to identify and maximo data defeiciencies we currently dont have, so we can have a handoff for manpreet to provide additional data required. </t>
  </si>
  <si>
    <t>Optional</t>
  </si>
  <si>
    <t>need to add lee as head of as an optional, also add regional superintendent as optional.</t>
  </si>
  <si>
    <t xml:space="preserve">Pre deployment call will be a review of this not a question and answer session. The embedded manditory stump test as determined by lees tool for all rigs will have a break out percentage in its own section that is a milestone for BOP testing, once this is at 90% an automated teams chat must go out to all concerned parties to notify 90% completion of testing and to arrange the pre deployment review. this allows all parties to review the predeployment section in the planning tool and raise any concerns ahead of time. notification, this is 90% completion notice for xxx rig maintenance plan, pre deployment call is to be arranged, relevant teamsare to start reviewing predeployment info and voice concerns in this channel. </t>
  </si>
  <si>
    <t xml:space="preserve">na needs to be reviewed by rig management and signed off. </t>
  </si>
  <si>
    <t xml:space="preserve">a 2 stack rig will rarely have maintenance at the same time, however they will have their own identifier for 2 separate projects and the PMs and job plans are based on SFI structure, so you would have 2 separate pans for the 2 stacks, predeployment can run seperate for the 2 however only 1 BOP can be deployed at a time. </t>
  </si>
  <si>
    <t xml:space="preserve">Label to be there for the photo they need to put there. </t>
  </si>
  <si>
    <t xml:space="preserve">reviewin the photo to the rights we wan the designation to have al of the required photos and that embeds into all of the tools. This is done at predeployment, shows all required ohots and the configuration, when we open sort or wcerrt we pull this data from the BWM folder. so we can always see the conditon of the components as before they were ran. </t>
  </si>
  <si>
    <t xml:space="preserve">the attendees are the people who have reviewed the data, have an acknowledgement post back like the AAB tool. </t>
  </si>
  <si>
    <t xml:space="preserve">send out in order, we will provide order later. </t>
  </si>
  <si>
    <t xml:space="preserve">don’t understand please elaborate. </t>
  </si>
  <si>
    <t xml:space="preserve">agreed. Planning tool pre deopployment is primary the sheet is only staying in ssort for emergencies such as quick BOP DT pull, even then there should be a plan, but for now we will leave it. Downtime recovery plan and shot BWM is a future modification/development.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</si>
</sst>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4"/>
      <color rgb="FF002C77"/>
      <name val="Arial"/>
    </font>
    <font>
      <sz val="10"/>
      <name val="Arial"/>
    </font>
    <font>
      <b/>
      <sz val="11"/>
      <color rgb="FF002C77"/>
      <name val="Arial"/>
    </font>
    <font>
      <sz val="9"/>
      <name val="Arial"/>
    </font>
    <font>
      <b/>
      <sz val="10"/>
      <color rgb="FFFFFFFF"/>
      <name val="Arial"/>
    </font>
    <font>
      <b/>
      <sz val="10"/>
      <color rgb="FF002C77"/>
      <name val="Arial"/>
    </font>
    <font>
      <b/>
      <sz val="9"/>
      <name val="Arial"/>
    </font>
    <font>
      <b/>
      <sz val="12"/>
      <color rgb="FF002C77"/>
      <name val="Arial"/>
    </font>
    <font>
      <i/>
      <sz val="9"/>
      <name val="Arial"/>
    </font>
    <font>
      <i/>
      <sz val="8"/>
      <name val="Arial"/>
    </font>
  </fonts>
  <fills count="5">
    <fill>
      <patternFill patternType="none"/>
    </fill>
    <fill>
      <patternFill patternType="gray125"/>
    </fill>
    <fill>
      <patternFill patternType="solid">
        <fgColor rgb="FFFFF7D6"/>
      </patternFill>
    </fill>
    <fill>
      <patternFill patternType="solid">
        <fgColor rgb="FF002C77"/>
      </patternFill>
    </fill>
    <fill>
      <patternFill patternType="solid">
        <fgColor rgb="FFDCE6F5"/>
      </patternFill>
    </fill>
  </fills>
  <borders count="3">
    <border>
      <left/>
      <right/>
      <top/>
      <bottom/>
      <diagonal/>
    </border>
    <border>
      <left style="thin">
        <color rgb="FFC9D4E8"/>
      </left>
      <right style="thin">
        <color rgb="FFC9D4E8"/>
      </right>
      <top style="thin">
        <color rgb="FFC9D4E8"/>
      </top>
      <bottom style="thin">
        <color rgb="FFC9D4E8"/>
      </bottom>
      <diagonal/>
    </border>
    <border>
      <left/>
      <right/>
      <top/>
      <bottom/>
      <diagonal/>
    </border>
  </borders>
  <cellStyleXfs count="1">
    <xf numFmtId="0" fontId="0" fillId="0" borderId="2"/>
  </cellStyleXfs>
  <cellXfs count="25">
    <xf numFmtId="0" fontId="0" fillId="0" borderId="0" xfId="0" applyBorder="1"/>
    <xf numFmtId="0" fontId="1" fillId="0" borderId="0" xfId="0" applyFont="1" applyBorder="1" applyAlignment="1">
      <alignment vertical="top" wrapText="1"/>
    </xf>
    <xf numFmtId="0" fontId="2" fillId="0" borderId="0" xfId="0" applyFont="1" applyBorder="1" applyAlignment="1">
      <alignment vertical="top" wrapText="1"/>
    </xf>
    <xf numFmtId="0" fontId="3" fillId="0" borderId="0" xfId="0" applyFont="1" applyBorder="1" applyAlignment="1">
      <alignment vertical="top" wrapText="1"/>
    </xf>
    <xf numFmtId="0" fontId="4" fillId="2" borderId="0" xfId="0" applyFont="1" applyFill="1" applyBorder="1" applyAlignment="1">
      <alignment vertical="top" wrapText="1"/>
    </xf>
    <xf numFmtId="0" fontId="5" fillId="3" borderId="1" xfId="0" applyFont="1" applyFill="1" applyBorder="1" applyAlignment="1">
      <alignment vertical="center" wrapText="1"/>
    </xf>
    <xf numFmtId="0" fontId="0" fillId="4" borderId="0" xfId="0" applyFill="1" applyBorder="1"/>
    <xf numFmtId="0" fontId="7" fillId="0" borderId="1" xfId="0" applyFont="1" applyBorder="1" applyAlignment="1">
      <alignment vertical="top" wrapText="1"/>
    </xf>
    <xf numFmtId="0" fontId="4" fillId="0" borderId="1" xfId="0" applyFont="1" applyBorder="1" applyAlignment="1">
      <alignment vertical="top" wrapText="1"/>
    </xf>
    <xf numFmtId="0" fontId="4" fillId="2" borderId="1" xfId="0" applyFont="1" applyFill="1" applyBorder="1" applyAlignment="1">
      <alignment vertical="top" wrapText="1"/>
    </xf>
    <xf numFmtId="0" fontId="8" fillId="0" borderId="0" xfId="0" applyFont="1" applyBorder="1"/>
    <xf numFmtId="0" fontId="5" fillId="3" borderId="1" xfId="0" applyFont="1" applyFill="1" applyBorder="1"/>
    <xf numFmtId="0" fontId="6" fillId="0" borderId="0" xfId="0" applyFont="1" applyBorder="1"/>
    <xf numFmtId="0" fontId="4" fillId="0" borderId="1" xfId="0" applyFont="1" applyBorder="1" applyAlignment="1">
      <alignment vertical="top"/>
    </xf>
    <xf numFmtId="0" fontId="4" fillId="2" borderId="1" xfId="0" applyFont="1" applyFill="1" applyBorder="1" applyAlignment="1">
      <alignment vertical="top"/>
    </xf>
    <xf numFmtId="0" fontId="4" fillId="0" borderId="0" xfId="0" applyFont="1" applyBorder="1"/>
    <xf numFmtId="0" fontId="7" fillId="0" borderId="0" xfId="0" applyFont="1" applyBorder="1"/>
    <xf numFmtId="9" fontId="7" fillId="0" borderId="0" xfId="0" applyNumberFormat="1" applyFont="1" applyBorder="1"/>
    <xf numFmtId="0" fontId="10" fillId="0" borderId="0" xfId="0" applyFont="1" applyBorder="1"/>
    <xf numFmtId="0" fontId="5" fillId="3" borderId="1" xfId="0" applyFont="1" applyFill="1" applyBorder="1" applyAlignment="1">
      <alignment vertical="top" wrapText="1"/>
    </xf>
    <xf numFmtId="0" fontId="7" fillId="0" borderId="2" xfId="0" applyFont="1" applyAlignment="1">
      <alignment vertical="top" wrapText="1"/>
    </xf>
    <xf numFmtId="0" fontId="4" fillId="0" borderId="2" xfId="0" applyFont="1" applyAlignment="1">
      <alignment vertical="top" wrapText="1"/>
    </xf>
    <xf numFmtId="0" fontId="6" fillId="4" borderId="2" xfId="0" applyFont="1" applyFill="1"/>
    <xf numFmtId="0" fontId="0" fillId="0" borderId="0" xfId="0" applyBorder="1"/>
    <xf numFmtId="0" fontId="9" fillId="0" borderId="2"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1</xdr:row>
      <xdr:rowOff>101600</xdr:rowOff>
    </xdr:from>
    <xdr:to>
      <xdr:col>28</xdr:col>
      <xdr:colOff>369828</xdr:colOff>
      <xdr:row>21</xdr:row>
      <xdr:rowOff>173933</xdr:rowOff>
    </xdr:to>
    <xdr:pic>
      <xdr:nvPicPr>
        <xdr:cNvPr id="2" name="Picture 1">
          <a:extLst>
            <a:ext uri="{FF2B5EF4-FFF2-40B4-BE49-F238E27FC236}">
              <a16:creationId xmlns:a16="http://schemas.microsoft.com/office/drawing/2014/main" id="{CF0508CA-F9B4-7D82-4EA3-377C0B040B88}"/>
            </a:ext>
          </a:extLst>
        </xdr:cNvPr>
        <xdr:cNvPicPr>
          <a:picLocks noChangeAspect="1"/>
        </xdr:cNvPicPr>
      </xdr:nvPicPr>
      <xdr:blipFill>
        <a:blip xmlns:r="http://schemas.openxmlformats.org/officeDocument/2006/relationships" r:embed="rId1"/>
        <a:stretch>
          <a:fillRect/>
        </a:stretch>
      </xdr:blipFill>
      <xdr:spPr>
        <a:xfrm>
          <a:off x="13970000" y="285750"/>
          <a:ext cx="13171428" cy="553333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7"/>
  <sheetViews>
    <sheetView workbookViewId="0"/>
  </sheetViews>
  <sheetFormatPr defaultRowHeight="14.5" x14ac:dyDescent="0.35"/>
  <cols>
    <col min="1" max="1" width="130" customWidth="1"/>
  </cols>
  <sheetData>
    <row r="1" spans="1:1" ht="18" customHeight="1" x14ac:dyDescent="0.35">
      <c r="A1" s="1" t="s">
        <v>0</v>
      </c>
    </row>
    <row r="2" spans="1:1" x14ac:dyDescent="0.35">
      <c r="A2" s="2" t="s">
        <v>1</v>
      </c>
    </row>
    <row r="3" spans="1:1" x14ac:dyDescent="0.35">
      <c r="A3" s="3" t="s">
        <v>2</v>
      </c>
    </row>
    <row r="4" spans="1:1" ht="25" customHeight="1" x14ac:dyDescent="0.35">
      <c r="A4" s="2" t="s">
        <v>3</v>
      </c>
    </row>
    <row r="5" spans="1:1" ht="25" customHeight="1" x14ac:dyDescent="0.35">
      <c r="A5" s="2" t="s">
        <v>4</v>
      </c>
    </row>
    <row r="6" spans="1:1" x14ac:dyDescent="0.35">
      <c r="A6" s="3" t="s">
        <v>5</v>
      </c>
    </row>
    <row r="7" spans="1:1" ht="25" customHeight="1" x14ac:dyDescent="0.35">
      <c r="A7" s="2" t="s">
        <v>6</v>
      </c>
    </row>
    <row r="8" spans="1:1" ht="25" customHeight="1" x14ac:dyDescent="0.35">
      <c r="A8" s="2" t="s">
        <v>7</v>
      </c>
    </row>
    <row r="9" spans="1:1" x14ac:dyDescent="0.35">
      <c r="A9" s="2" t="s">
        <v>8</v>
      </c>
    </row>
    <row r="10" spans="1:1" x14ac:dyDescent="0.35">
      <c r="A10" s="3" t="s">
        <v>9</v>
      </c>
    </row>
    <row r="11" spans="1:1" x14ac:dyDescent="0.35">
      <c r="A11" s="2" t="s">
        <v>10</v>
      </c>
    </row>
    <row r="12" spans="1:1" x14ac:dyDescent="0.35">
      <c r="A12" s="2" t="s">
        <v>11</v>
      </c>
    </row>
    <row r="13" spans="1:1" x14ac:dyDescent="0.35">
      <c r="A13" s="2" t="s">
        <v>12</v>
      </c>
    </row>
    <row r="14" spans="1:1" x14ac:dyDescent="0.35">
      <c r="A14" s="2" t="s">
        <v>13</v>
      </c>
    </row>
    <row r="15" spans="1:1" x14ac:dyDescent="0.35">
      <c r="A15" s="3" t="s">
        <v>14</v>
      </c>
    </row>
    <row r="16" spans="1:1" ht="23" customHeight="1" x14ac:dyDescent="0.35">
      <c r="A16" s="4" t="s">
        <v>15</v>
      </c>
    </row>
    <row r="17" spans="1:1" x14ac:dyDescent="0.35">
      <c r="A17" s="2"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64"/>
  <sheetViews>
    <sheetView zoomScale="85" zoomScaleNormal="85" workbookViewId="0">
      <pane xSplit="3" ySplit="1" topLeftCell="L56" activePane="bottomRight" state="frozen"/>
      <selection pane="topRight"/>
      <selection pane="bottomLeft"/>
      <selection pane="bottomRight" activeCell="L69" sqref="L69"/>
    </sheetView>
  </sheetViews>
  <sheetFormatPr defaultRowHeight="14.5" x14ac:dyDescent="0.35"/>
  <cols>
    <col min="1" max="1" width="7" customWidth="1"/>
    <col min="2" max="2" width="16" customWidth="1"/>
    <col min="3" max="3" width="46" customWidth="1"/>
    <col min="4" max="4" width="14" customWidth="1"/>
    <col min="5" max="5" width="34" customWidth="1"/>
    <col min="6" max="6" width="30" customWidth="1"/>
    <col min="7" max="8" width="14" customWidth="1"/>
    <col min="9" max="9" width="16" customWidth="1"/>
    <col min="10" max="10" width="26" customWidth="1"/>
    <col min="11" max="11" width="11" customWidth="1"/>
    <col min="12" max="12" width="30" customWidth="1"/>
    <col min="13" max="13" width="11" customWidth="1"/>
    <col min="14" max="14" width="30" customWidth="1"/>
    <col min="15" max="15" width="11" customWidth="1"/>
    <col min="16" max="16" width="30" customWidth="1"/>
  </cols>
  <sheetData>
    <row r="1" spans="1:16" ht="39" customHeight="1" x14ac:dyDescent="0.35">
      <c r="A1" s="5" t="s">
        <v>17</v>
      </c>
      <c r="B1" s="5" t="s">
        <v>18</v>
      </c>
      <c r="C1" s="5" t="s">
        <v>19</v>
      </c>
      <c r="D1" s="5" t="s">
        <v>20</v>
      </c>
      <c r="E1" s="5" t="s">
        <v>21</v>
      </c>
      <c r="F1" s="5" t="s">
        <v>22</v>
      </c>
      <c r="G1" s="5" t="s">
        <v>23</v>
      </c>
      <c r="H1" s="5" t="s">
        <v>24</v>
      </c>
      <c r="I1" s="5" t="s">
        <v>25</v>
      </c>
      <c r="J1" s="5" t="s">
        <v>26</v>
      </c>
      <c r="K1" s="5" t="s">
        <v>27</v>
      </c>
      <c r="L1" s="5" t="s">
        <v>28</v>
      </c>
      <c r="M1" s="5" t="s">
        <v>29</v>
      </c>
      <c r="N1" s="5" t="s">
        <v>30</v>
      </c>
      <c r="O1" s="5" t="s">
        <v>31</v>
      </c>
      <c r="P1" s="5" t="s">
        <v>32</v>
      </c>
    </row>
    <row r="2" spans="1:16" x14ac:dyDescent="0.35">
      <c r="A2" s="22" t="s">
        <v>33</v>
      </c>
      <c r="B2" s="23"/>
      <c r="C2" s="23"/>
      <c r="D2" s="23"/>
      <c r="E2" s="23"/>
      <c r="F2" s="23"/>
      <c r="G2" s="23"/>
      <c r="H2" s="23"/>
      <c r="I2" s="23"/>
      <c r="J2" s="23"/>
      <c r="K2" s="6"/>
      <c r="L2" s="6"/>
      <c r="M2" s="6"/>
      <c r="N2" s="6"/>
      <c r="O2" s="6"/>
      <c r="P2" s="6"/>
    </row>
    <row r="3" spans="1:16" ht="23" customHeight="1" x14ac:dyDescent="0.35">
      <c r="A3" s="7" t="s">
        <v>34</v>
      </c>
      <c r="B3" s="8" t="s">
        <v>35</v>
      </c>
      <c r="C3" s="8" t="s">
        <v>36</v>
      </c>
      <c r="D3" s="8" t="s">
        <v>37</v>
      </c>
      <c r="E3" s="8" t="s">
        <v>38</v>
      </c>
      <c r="F3" s="8" t="s">
        <v>39</v>
      </c>
      <c r="G3" s="8" t="s">
        <v>40</v>
      </c>
      <c r="H3" s="8" t="s">
        <v>41</v>
      </c>
      <c r="I3" s="8" t="s">
        <v>42</v>
      </c>
      <c r="J3" s="8" t="s">
        <v>43</v>
      </c>
      <c r="K3" s="9" t="s">
        <v>44</v>
      </c>
      <c r="L3" s="9" t="s">
        <v>415</v>
      </c>
      <c r="M3" s="9" t="s">
        <v>44</v>
      </c>
      <c r="N3" s="9"/>
      <c r="O3" s="9" t="s">
        <v>44</v>
      </c>
      <c r="P3" s="9" t="s">
        <v>440</v>
      </c>
    </row>
    <row r="4" spans="1:16" x14ac:dyDescent="0.35">
      <c r="A4" s="22" t="s">
        <v>45</v>
      </c>
      <c r="B4" s="23"/>
      <c r="C4" s="23"/>
      <c r="D4" s="23"/>
      <c r="E4" s="23"/>
      <c r="F4" s="23"/>
      <c r="G4" s="23"/>
      <c r="H4" s="23"/>
      <c r="I4" s="23"/>
      <c r="J4" s="23"/>
      <c r="K4" s="6"/>
      <c r="L4" s="6"/>
      <c r="M4" s="6"/>
      <c r="N4" s="6"/>
      <c r="O4" s="6"/>
      <c r="P4" s="6"/>
    </row>
    <row r="5" spans="1:16" ht="23" customHeight="1" x14ac:dyDescent="0.35">
      <c r="A5" s="7" t="s">
        <v>46</v>
      </c>
      <c r="B5" s="8" t="s">
        <v>47</v>
      </c>
      <c r="C5" s="8" t="s">
        <v>48</v>
      </c>
      <c r="D5" s="8" t="s">
        <v>37</v>
      </c>
      <c r="E5" s="8" t="s">
        <v>49</v>
      </c>
      <c r="F5" s="8" t="s">
        <v>50</v>
      </c>
      <c r="G5" s="8" t="s">
        <v>51</v>
      </c>
      <c r="H5" s="8" t="s">
        <v>52</v>
      </c>
      <c r="I5" s="8" t="s">
        <v>53</v>
      </c>
      <c r="J5" s="8" t="s">
        <v>54</v>
      </c>
      <c r="K5" s="9" t="s">
        <v>44</v>
      </c>
      <c r="L5" s="9" t="s">
        <v>55</v>
      </c>
      <c r="M5" s="9"/>
      <c r="N5" s="9"/>
      <c r="O5" s="9"/>
      <c r="P5" s="9"/>
    </row>
    <row r="6" spans="1:16" ht="23" customHeight="1" x14ac:dyDescent="0.35">
      <c r="A6" s="7" t="s">
        <v>56</v>
      </c>
      <c r="B6" s="8" t="s">
        <v>47</v>
      </c>
      <c r="C6" s="8" t="s">
        <v>57</v>
      </c>
      <c r="D6" s="8" t="s">
        <v>37</v>
      </c>
      <c r="E6" s="8" t="s">
        <v>58</v>
      </c>
      <c r="F6" s="8" t="s">
        <v>50</v>
      </c>
      <c r="G6" s="8" t="s">
        <v>51</v>
      </c>
      <c r="H6" s="8" t="s">
        <v>52</v>
      </c>
      <c r="I6" s="8" t="s">
        <v>53</v>
      </c>
      <c r="J6" s="8" t="s">
        <v>59</v>
      </c>
      <c r="K6" s="9" t="s">
        <v>44</v>
      </c>
      <c r="L6" s="9" t="s">
        <v>60</v>
      </c>
      <c r="M6" s="9"/>
      <c r="N6" s="9"/>
      <c r="O6" s="9"/>
      <c r="P6" s="9"/>
    </row>
    <row r="7" spans="1:16" ht="23" customHeight="1" x14ac:dyDescent="0.35">
      <c r="A7" s="7" t="s">
        <v>61</v>
      </c>
      <c r="B7" s="8" t="s">
        <v>47</v>
      </c>
      <c r="C7" s="8" t="s">
        <v>62</v>
      </c>
      <c r="D7" s="8" t="s">
        <v>37</v>
      </c>
      <c r="E7" s="8" t="s">
        <v>63</v>
      </c>
      <c r="F7" s="8" t="s">
        <v>50</v>
      </c>
      <c r="G7" s="8" t="s">
        <v>51</v>
      </c>
      <c r="H7" s="8" t="s">
        <v>52</v>
      </c>
      <c r="I7" s="8" t="s">
        <v>53</v>
      </c>
      <c r="J7" s="8" t="s">
        <v>64</v>
      </c>
      <c r="K7" s="9" t="s">
        <v>65</v>
      </c>
      <c r="L7" s="9" t="s">
        <v>66</v>
      </c>
      <c r="M7" s="9" t="s">
        <v>40</v>
      </c>
      <c r="N7" s="9"/>
      <c r="O7" s="9" t="s">
        <v>40</v>
      </c>
      <c r="P7" s="9" t="s">
        <v>441</v>
      </c>
    </row>
    <row r="8" spans="1:16" ht="23" customHeight="1" x14ac:dyDescent="0.35">
      <c r="A8" s="7" t="s">
        <v>67</v>
      </c>
      <c r="B8" s="8" t="s">
        <v>47</v>
      </c>
      <c r="C8" s="8" t="s">
        <v>68</v>
      </c>
      <c r="D8" s="8" t="s">
        <v>37</v>
      </c>
      <c r="E8" s="8" t="s">
        <v>69</v>
      </c>
      <c r="F8" s="8" t="s">
        <v>50</v>
      </c>
      <c r="G8" s="8" t="s">
        <v>51</v>
      </c>
      <c r="H8" s="8" t="s">
        <v>52</v>
      </c>
      <c r="I8" s="8" t="s">
        <v>53</v>
      </c>
      <c r="J8" s="8" t="s">
        <v>70</v>
      </c>
      <c r="K8" s="9" t="s">
        <v>44</v>
      </c>
      <c r="L8" s="9" t="s">
        <v>416</v>
      </c>
      <c r="M8" s="9" t="s">
        <v>40</v>
      </c>
      <c r="N8" s="9"/>
      <c r="O8" s="9" t="s">
        <v>40</v>
      </c>
      <c r="P8" s="9" t="s">
        <v>442</v>
      </c>
    </row>
    <row r="9" spans="1:16" ht="23" customHeight="1" x14ac:dyDescent="0.35">
      <c r="A9" s="7" t="s">
        <v>71</v>
      </c>
      <c r="B9" s="8" t="s">
        <v>47</v>
      </c>
      <c r="C9" s="8" t="s">
        <v>72</v>
      </c>
      <c r="D9" s="8" t="s">
        <v>37</v>
      </c>
      <c r="E9" s="8" t="s">
        <v>73</v>
      </c>
      <c r="F9" s="8" t="s">
        <v>74</v>
      </c>
      <c r="G9" s="8" t="s">
        <v>51</v>
      </c>
      <c r="H9" s="8" t="s">
        <v>52</v>
      </c>
      <c r="I9" s="8" t="s">
        <v>53</v>
      </c>
      <c r="J9" s="8" t="s">
        <v>75</v>
      </c>
      <c r="K9" s="9" t="s">
        <v>44</v>
      </c>
      <c r="L9" s="9" t="s">
        <v>417</v>
      </c>
      <c r="M9" s="9"/>
      <c r="N9" s="9"/>
      <c r="O9" s="9"/>
      <c r="P9" s="9"/>
    </row>
    <row r="10" spans="1:16" ht="34.5" customHeight="1" x14ac:dyDescent="0.35">
      <c r="A10" s="7" t="s">
        <v>76</v>
      </c>
      <c r="B10" s="8" t="s">
        <v>47</v>
      </c>
      <c r="C10" s="8" t="s">
        <v>77</v>
      </c>
      <c r="D10" s="8" t="s">
        <v>37</v>
      </c>
      <c r="E10" s="8" t="s">
        <v>73</v>
      </c>
      <c r="F10" s="8" t="s">
        <v>74</v>
      </c>
      <c r="G10" s="8" t="s">
        <v>51</v>
      </c>
      <c r="H10" s="8" t="s">
        <v>52</v>
      </c>
      <c r="I10" s="8" t="s">
        <v>53</v>
      </c>
      <c r="J10" s="8" t="s">
        <v>78</v>
      </c>
      <c r="K10" s="9" t="s">
        <v>65</v>
      </c>
      <c r="L10" s="9" t="s">
        <v>443</v>
      </c>
      <c r="M10" s="9"/>
      <c r="N10" s="9"/>
      <c r="O10" s="9"/>
      <c r="P10" s="9" t="s">
        <v>443</v>
      </c>
    </row>
    <row r="11" spans="1:16" ht="34.5" customHeight="1" x14ac:dyDescent="0.35">
      <c r="A11" s="7" t="s">
        <v>79</v>
      </c>
      <c r="B11" s="8" t="s">
        <v>47</v>
      </c>
      <c r="C11" s="8" t="s">
        <v>80</v>
      </c>
      <c r="D11" s="8" t="s">
        <v>37</v>
      </c>
      <c r="E11" s="8" t="s">
        <v>81</v>
      </c>
      <c r="F11" s="8" t="s">
        <v>50</v>
      </c>
      <c r="G11" s="8" t="s">
        <v>51</v>
      </c>
      <c r="H11" s="8" t="s">
        <v>52</v>
      </c>
      <c r="I11" s="8" t="s">
        <v>53</v>
      </c>
      <c r="J11" s="8" t="s">
        <v>82</v>
      </c>
      <c r="K11" s="9" t="s">
        <v>44</v>
      </c>
      <c r="L11" s="9" t="s">
        <v>418</v>
      </c>
      <c r="M11" s="9"/>
      <c r="N11" s="9"/>
      <c r="O11" s="9"/>
      <c r="P11" s="9" t="s">
        <v>418</v>
      </c>
    </row>
    <row r="12" spans="1:16" ht="23" customHeight="1" x14ac:dyDescent="0.35">
      <c r="A12" s="7" t="s">
        <v>83</v>
      </c>
      <c r="B12" s="8" t="s">
        <v>47</v>
      </c>
      <c r="C12" s="8" t="s">
        <v>84</v>
      </c>
      <c r="D12" s="8" t="s">
        <v>37</v>
      </c>
      <c r="E12" s="8" t="s">
        <v>85</v>
      </c>
      <c r="F12" s="8" t="s">
        <v>74</v>
      </c>
      <c r="G12" s="8" t="s">
        <v>51</v>
      </c>
      <c r="H12" s="8" t="s">
        <v>52</v>
      </c>
      <c r="I12" s="8" t="s">
        <v>53</v>
      </c>
      <c r="J12" s="8" t="s">
        <v>86</v>
      </c>
      <c r="K12" s="9" t="s">
        <v>44</v>
      </c>
      <c r="L12" s="9" t="s">
        <v>419</v>
      </c>
      <c r="M12" s="9"/>
      <c r="N12" s="9"/>
      <c r="O12" s="9"/>
      <c r="P12" s="9"/>
    </row>
    <row r="13" spans="1:16" ht="34.5" customHeight="1" x14ac:dyDescent="0.35">
      <c r="A13" s="7" t="s">
        <v>87</v>
      </c>
      <c r="B13" s="8" t="s">
        <v>47</v>
      </c>
      <c r="C13" s="8" t="s">
        <v>88</v>
      </c>
      <c r="D13" s="8" t="s">
        <v>37</v>
      </c>
      <c r="E13" s="8" t="s">
        <v>63</v>
      </c>
      <c r="F13" s="8" t="s">
        <v>50</v>
      </c>
      <c r="G13" s="8" t="s">
        <v>51</v>
      </c>
      <c r="H13" s="8" t="s">
        <v>52</v>
      </c>
      <c r="I13" s="8" t="s">
        <v>53</v>
      </c>
      <c r="J13" s="8" t="s">
        <v>89</v>
      </c>
      <c r="K13" s="9" t="s">
        <v>44</v>
      </c>
      <c r="L13" s="9" t="s">
        <v>420</v>
      </c>
      <c r="M13" s="9"/>
      <c r="N13" s="9"/>
      <c r="O13" s="9"/>
      <c r="P13" s="9" t="s">
        <v>420</v>
      </c>
    </row>
    <row r="14" spans="1:16" ht="46" customHeight="1" x14ac:dyDescent="0.35">
      <c r="A14" s="7" t="s">
        <v>90</v>
      </c>
      <c r="B14" s="8" t="s">
        <v>47</v>
      </c>
      <c r="C14" s="8" t="s">
        <v>91</v>
      </c>
      <c r="D14" s="8" t="s">
        <v>37</v>
      </c>
      <c r="E14" s="8" t="s">
        <v>92</v>
      </c>
      <c r="F14" s="8" t="s">
        <v>50</v>
      </c>
      <c r="G14" s="8" t="s">
        <v>51</v>
      </c>
      <c r="H14" s="8" t="s">
        <v>52</v>
      </c>
      <c r="I14" s="8" t="s">
        <v>53</v>
      </c>
      <c r="J14" s="8" t="s">
        <v>93</v>
      </c>
      <c r="K14" s="9" t="s">
        <v>44</v>
      </c>
      <c r="L14" s="9" t="s">
        <v>412</v>
      </c>
      <c r="M14" s="9"/>
      <c r="N14" s="9"/>
      <c r="O14" s="9"/>
      <c r="P14" s="9" t="s">
        <v>412</v>
      </c>
    </row>
    <row r="15" spans="1:16" ht="23" customHeight="1" x14ac:dyDescent="0.35">
      <c r="A15" s="7" t="s">
        <v>94</v>
      </c>
      <c r="B15" s="8" t="s">
        <v>47</v>
      </c>
      <c r="C15" s="8" t="s">
        <v>95</v>
      </c>
      <c r="D15" s="8" t="s">
        <v>37</v>
      </c>
      <c r="E15" s="8" t="s">
        <v>73</v>
      </c>
      <c r="F15" s="8" t="s">
        <v>74</v>
      </c>
      <c r="G15" s="8" t="s">
        <v>51</v>
      </c>
      <c r="H15" s="8" t="s">
        <v>52</v>
      </c>
      <c r="I15" s="8" t="s">
        <v>53</v>
      </c>
      <c r="J15" s="8" t="s">
        <v>96</v>
      </c>
      <c r="K15" s="9" t="s">
        <v>44</v>
      </c>
      <c r="L15" s="9" t="s">
        <v>421</v>
      </c>
      <c r="M15" s="9"/>
      <c r="N15" s="9"/>
      <c r="O15" s="9"/>
      <c r="P15" s="9"/>
    </row>
    <row r="16" spans="1:16" ht="23" customHeight="1" x14ac:dyDescent="0.35">
      <c r="A16" s="7" t="s">
        <v>97</v>
      </c>
      <c r="B16" s="8" t="s">
        <v>47</v>
      </c>
      <c r="C16" s="8" t="s">
        <v>98</v>
      </c>
      <c r="D16" s="8" t="s">
        <v>37</v>
      </c>
      <c r="E16" s="8" t="s">
        <v>63</v>
      </c>
      <c r="F16" s="8" t="s">
        <v>50</v>
      </c>
      <c r="G16" s="8" t="s">
        <v>51</v>
      </c>
      <c r="H16" s="8" t="s">
        <v>52</v>
      </c>
      <c r="I16" s="8" t="s">
        <v>53</v>
      </c>
      <c r="J16" s="8" t="s">
        <v>99</v>
      </c>
      <c r="K16" s="9" t="s">
        <v>44</v>
      </c>
      <c r="L16" s="9" t="s">
        <v>100</v>
      </c>
      <c r="M16" s="9"/>
      <c r="N16" s="9"/>
      <c r="O16" s="9"/>
      <c r="P16" s="9"/>
    </row>
    <row r="17" spans="1:16" ht="34.5" customHeight="1" x14ac:dyDescent="0.35">
      <c r="A17" s="7" t="s">
        <v>101</v>
      </c>
      <c r="B17" s="8" t="s">
        <v>47</v>
      </c>
      <c r="C17" s="8" t="s">
        <v>102</v>
      </c>
      <c r="D17" s="8" t="s">
        <v>37</v>
      </c>
      <c r="E17" s="8" t="s">
        <v>63</v>
      </c>
      <c r="F17" s="8" t="s">
        <v>50</v>
      </c>
      <c r="G17" s="8" t="s">
        <v>51</v>
      </c>
      <c r="H17" s="8" t="s">
        <v>52</v>
      </c>
      <c r="I17" s="8" t="s">
        <v>53</v>
      </c>
      <c r="J17" s="8" t="s">
        <v>103</v>
      </c>
      <c r="K17" s="9" t="s">
        <v>44</v>
      </c>
      <c r="L17" s="9" t="s">
        <v>422</v>
      </c>
      <c r="M17" s="9"/>
      <c r="N17" s="9" t="s">
        <v>444</v>
      </c>
      <c r="O17" s="9"/>
      <c r="P17" s="9"/>
    </row>
    <row r="18" spans="1:16" ht="46" customHeight="1" x14ac:dyDescent="0.35">
      <c r="A18" s="7" t="s">
        <v>104</v>
      </c>
      <c r="B18" s="8" t="s">
        <v>47</v>
      </c>
      <c r="C18" s="8" t="s">
        <v>105</v>
      </c>
      <c r="D18" s="8" t="s">
        <v>37</v>
      </c>
      <c r="E18" s="8" t="s">
        <v>63</v>
      </c>
      <c r="F18" s="8" t="s">
        <v>50</v>
      </c>
      <c r="G18" s="8" t="s">
        <v>51</v>
      </c>
      <c r="H18" s="8" t="s">
        <v>52</v>
      </c>
      <c r="I18" s="8" t="s">
        <v>53</v>
      </c>
      <c r="J18" s="8" t="s">
        <v>106</v>
      </c>
      <c r="K18" s="9" t="s">
        <v>44</v>
      </c>
      <c r="L18" s="9" t="s">
        <v>422</v>
      </c>
      <c r="M18" s="9"/>
      <c r="N18" s="9" t="s">
        <v>445</v>
      </c>
      <c r="O18" s="9"/>
      <c r="P18" s="9"/>
    </row>
    <row r="19" spans="1:16" ht="34.5" customHeight="1" x14ac:dyDescent="0.35">
      <c r="A19" s="7" t="s">
        <v>107</v>
      </c>
      <c r="B19" s="8" t="s">
        <v>47</v>
      </c>
      <c r="C19" s="8" t="s">
        <v>108</v>
      </c>
      <c r="D19" s="8" t="s">
        <v>37</v>
      </c>
      <c r="E19" s="8" t="s">
        <v>63</v>
      </c>
      <c r="F19" s="8" t="s">
        <v>50</v>
      </c>
      <c r="G19" s="8" t="s">
        <v>51</v>
      </c>
      <c r="H19" s="8" t="s">
        <v>52</v>
      </c>
      <c r="I19" s="8" t="s">
        <v>53</v>
      </c>
      <c r="J19" s="8" t="s">
        <v>109</v>
      </c>
      <c r="K19" s="9" t="s">
        <v>44</v>
      </c>
      <c r="L19" s="9" t="s">
        <v>423</v>
      </c>
      <c r="M19" s="9"/>
      <c r="N19" s="9" t="s">
        <v>423</v>
      </c>
      <c r="O19" s="9"/>
      <c r="P19" s="9"/>
    </row>
    <row r="20" spans="1:16" ht="34.5" customHeight="1" x14ac:dyDescent="0.35">
      <c r="A20" s="7" t="s">
        <v>110</v>
      </c>
      <c r="B20" s="8" t="s">
        <v>47</v>
      </c>
      <c r="C20" s="8" t="s">
        <v>111</v>
      </c>
      <c r="D20" s="8" t="s">
        <v>37</v>
      </c>
      <c r="E20" s="8" t="s">
        <v>112</v>
      </c>
      <c r="F20" s="8" t="s">
        <v>50</v>
      </c>
      <c r="G20" s="8" t="s">
        <v>51</v>
      </c>
      <c r="H20" s="8" t="s">
        <v>52</v>
      </c>
      <c r="I20" s="8" t="s">
        <v>53</v>
      </c>
      <c r="J20" s="8" t="s">
        <v>113</v>
      </c>
      <c r="K20" s="9" t="s">
        <v>44</v>
      </c>
      <c r="L20" s="9" t="s">
        <v>413</v>
      </c>
      <c r="M20" s="9"/>
      <c r="N20" s="9" t="s">
        <v>413</v>
      </c>
      <c r="O20" s="9"/>
      <c r="P20" s="9"/>
    </row>
    <row r="21" spans="1:16" ht="23" customHeight="1" x14ac:dyDescent="0.35">
      <c r="A21" s="7" t="s">
        <v>114</v>
      </c>
      <c r="B21" s="8" t="s">
        <v>47</v>
      </c>
      <c r="C21" s="8" t="s">
        <v>115</v>
      </c>
      <c r="D21" s="8" t="s">
        <v>37</v>
      </c>
      <c r="E21" s="8" t="s">
        <v>112</v>
      </c>
      <c r="F21" s="8" t="s">
        <v>50</v>
      </c>
      <c r="G21" s="8" t="s">
        <v>51</v>
      </c>
      <c r="H21" s="8" t="s">
        <v>52</v>
      </c>
      <c r="I21" s="8" t="s">
        <v>53</v>
      </c>
      <c r="J21" s="8" t="s">
        <v>116</v>
      </c>
      <c r="K21" s="9" t="s">
        <v>65</v>
      </c>
      <c r="L21" s="9" t="s">
        <v>414</v>
      </c>
      <c r="M21" s="9"/>
      <c r="N21" s="9" t="s">
        <v>446</v>
      </c>
      <c r="O21" s="9"/>
      <c r="P21" s="9"/>
    </row>
    <row r="22" spans="1:16" ht="23" customHeight="1" x14ac:dyDescent="0.35">
      <c r="A22" s="7" t="s">
        <v>117</v>
      </c>
      <c r="B22" s="8" t="s">
        <v>47</v>
      </c>
      <c r="C22" s="8" t="s">
        <v>118</v>
      </c>
      <c r="D22" s="8" t="s">
        <v>37</v>
      </c>
      <c r="E22" s="8" t="s">
        <v>73</v>
      </c>
      <c r="F22" s="8" t="s">
        <v>74</v>
      </c>
      <c r="G22" s="8" t="s">
        <v>51</v>
      </c>
      <c r="H22" s="8" t="s">
        <v>52</v>
      </c>
      <c r="I22" s="8" t="s">
        <v>53</v>
      </c>
      <c r="J22" s="8" t="s">
        <v>119</v>
      </c>
      <c r="K22" s="9" t="s">
        <v>44</v>
      </c>
      <c r="L22" s="9" t="s">
        <v>424</v>
      </c>
      <c r="M22" s="9"/>
      <c r="N22" s="9" t="s">
        <v>447</v>
      </c>
      <c r="O22" s="9"/>
      <c r="P22" s="9"/>
    </row>
    <row r="23" spans="1:16" ht="23" customHeight="1" x14ac:dyDescent="0.35">
      <c r="A23" s="7" t="s">
        <v>120</v>
      </c>
      <c r="B23" s="8" t="s">
        <v>47</v>
      </c>
      <c r="C23" s="8" t="s">
        <v>121</v>
      </c>
      <c r="D23" s="8" t="s">
        <v>37</v>
      </c>
      <c r="E23" s="8" t="s">
        <v>73</v>
      </c>
      <c r="F23" s="8" t="s">
        <v>74</v>
      </c>
      <c r="G23" s="8" t="s">
        <v>51</v>
      </c>
      <c r="H23" s="8" t="s">
        <v>52</v>
      </c>
      <c r="I23" s="8" t="s">
        <v>53</v>
      </c>
      <c r="J23" s="8" t="s">
        <v>122</v>
      </c>
      <c r="K23" s="9" t="s">
        <v>44</v>
      </c>
      <c r="L23" s="9" t="s">
        <v>425</v>
      </c>
      <c r="M23" s="9"/>
      <c r="N23" s="9" t="s">
        <v>448</v>
      </c>
      <c r="O23" s="9"/>
      <c r="P23" s="9"/>
    </row>
    <row r="24" spans="1:16" ht="23" customHeight="1" x14ac:dyDescent="0.35">
      <c r="A24" s="7" t="s">
        <v>123</v>
      </c>
      <c r="B24" s="8" t="s">
        <v>47</v>
      </c>
      <c r="C24" s="8" t="s">
        <v>124</v>
      </c>
      <c r="D24" s="8" t="s">
        <v>37</v>
      </c>
      <c r="E24" s="8" t="s">
        <v>73</v>
      </c>
      <c r="F24" s="8" t="s">
        <v>74</v>
      </c>
      <c r="G24" s="8" t="s">
        <v>51</v>
      </c>
      <c r="H24" s="8" t="s">
        <v>52</v>
      </c>
      <c r="I24" s="8" t="s">
        <v>53</v>
      </c>
      <c r="J24" s="8" t="s">
        <v>125</v>
      </c>
      <c r="K24" s="9" t="s">
        <v>44</v>
      </c>
      <c r="L24" s="9" t="s">
        <v>433</v>
      </c>
      <c r="M24" s="9"/>
      <c r="N24" s="9" t="s">
        <v>449</v>
      </c>
      <c r="O24" s="9"/>
      <c r="P24" s="9"/>
    </row>
    <row r="25" spans="1:16" ht="92" x14ac:dyDescent="0.35">
      <c r="A25" s="7" t="s">
        <v>126</v>
      </c>
      <c r="B25" s="8" t="s">
        <v>47</v>
      </c>
      <c r="C25" s="8" t="s">
        <v>127</v>
      </c>
      <c r="D25" s="8" t="s">
        <v>37</v>
      </c>
      <c r="E25" s="8" t="s">
        <v>128</v>
      </c>
      <c r="F25" s="8" t="s">
        <v>50</v>
      </c>
      <c r="G25" s="8" t="s">
        <v>51</v>
      </c>
      <c r="H25" s="8" t="s">
        <v>52</v>
      </c>
      <c r="I25" s="8" t="s">
        <v>53</v>
      </c>
      <c r="J25" s="8" t="s">
        <v>129</v>
      </c>
      <c r="K25" s="9" t="s">
        <v>44</v>
      </c>
      <c r="L25" s="9" t="s">
        <v>426</v>
      </c>
      <c r="M25" s="9"/>
      <c r="N25" s="9" t="s">
        <v>450</v>
      </c>
      <c r="O25" s="9"/>
      <c r="P25" s="9"/>
    </row>
    <row r="26" spans="1:16" x14ac:dyDescent="0.35">
      <c r="A26" s="22" t="s">
        <v>130</v>
      </c>
      <c r="B26" s="23"/>
      <c r="C26" s="23"/>
      <c r="D26" s="23"/>
      <c r="E26" s="23"/>
      <c r="F26" s="23"/>
      <c r="G26" s="23"/>
      <c r="H26" s="23"/>
      <c r="I26" s="23"/>
      <c r="J26" s="23"/>
      <c r="K26" s="6"/>
      <c r="L26" s="6"/>
      <c r="M26" s="6"/>
      <c r="N26" s="6"/>
      <c r="O26" s="6"/>
      <c r="P26" s="6"/>
    </row>
    <row r="27" spans="1:16" ht="23" customHeight="1" x14ac:dyDescent="0.35">
      <c r="A27" s="7" t="s">
        <v>131</v>
      </c>
      <c r="B27" s="8" t="s">
        <v>132</v>
      </c>
      <c r="C27" s="8" t="s">
        <v>133</v>
      </c>
      <c r="D27" s="8" t="s">
        <v>134</v>
      </c>
      <c r="E27" s="8" t="s">
        <v>135</v>
      </c>
      <c r="F27" s="8" t="s">
        <v>136</v>
      </c>
      <c r="G27" s="8" t="s">
        <v>40</v>
      </c>
      <c r="H27" s="8" t="s">
        <v>137</v>
      </c>
      <c r="I27" s="8" t="s">
        <v>53</v>
      </c>
      <c r="J27" s="8" t="s">
        <v>138</v>
      </c>
      <c r="K27" s="9" t="s">
        <v>44</v>
      </c>
      <c r="L27" s="9" t="s">
        <v>434</v>
      </c>
      <c r="M27" s="9"/>
      <c r="N27" s="9" t="s">
        <v>451</v>
      </c>
      <c r="O27" s="9"/>
      <c r="P27" s="9"/>
    </row>
    <row r="28" spans="1:16" ht="23" customHeight="1" x14ac:dyDescent="0.35">
      <c r="A28" s="7" t="s">
        <v>139</v>
      </c>
      <c r="B28" s="8" t="s">
        <v>140</v>
      </c>
      <c r="C28" s="8" t="s">
        <v>141</v>
      </c>
      <c r="D28" s="8" t="s">
        <v>142</v>
      </c>
      <c r="E28" s="8" t="s">
        <v>143</v>
      </c>
      <c r="F28" s="8" t="s">
        <v>144</v>
      </c>
      <c r="G28" s="8" t="s">
        <v>51</v>
      </c>
      <c r="H28" s="8" t="s">
        <v>145</v>
      </c>
      <c r="I28" s="8" t="s">
        <v>53</v>
      </c>
      <c r="J28" s="8" t="s">
        <v>146</v>
      </c>
      <c r="K28" s="9" t="s">
        <v>65</v>
      </c>
      <c r="L28" s="9" t="s">
        <v>147</v>
      </c>
      <c r="M28" s="9"/>
      <c r="N28" s="9"/>
      <c r="O28" s="9"/>
      <c r="P28" s="9"/>
    </row>
    <row r="29" spans="1:16" ht="34.5" customHeight="1" x14ac:dyDescent="0.35">
      <c r="A29" s="7" t="s">
        <v>148</v>
      </c>
      <c r="B29" s="8" t="s">
        <v>140</v>
      </c>
      <c r="C29" s="8" t="s">
        <v>149</v>
      </c>
      <c r="D29" s="8" t="s">
        <v>150</v>
      </c>
      <c r="E29" s="8" t="s">
        <v>143</v>
      </c>
      <c r="F29" s="8" t="s">
        <v>144</v>
      </c>
      <c r="G29" s="8" t="s">
        <v>51</v>
      </c>
      <c r="H29" s="8" t="s">
        <v>145</v>
      </c>
      <c r="I29" s="8" t="s">
        <v>53</v>
      </c>
      <c r="J29" s="8" t="s">
        <v>151</v>
      </c>
      <c r="K29" s="9" t="s">
        <v>65</v>
      </c>
      <c r="L29" s="9" t="s">
        <v>427</v>
      </c>
      <c r="M29" s="9"/>
      <c r="N29" s="9" t="s">
        <v>452</v>
      </c>
      <c r="O29" s="9"/>
      <c r="P29" s="9"/>
    </row>
    <row r="30" spans="1:16" ht="23" customHeight="1" x14ac:dyDescent="0.35">
      <c r="A30" s="7" t="s">
        <v>152</v>
      </c>
      <c r="B30" s="8" t="s">
        <v>153</v>
      </c>
      <c r="C30" s="8" t="s">
        <v>154</v>
      </c>
      <c r="D30" s="8" t="s">
        <v>134</v>
      </c>
      <c r="E30" s="8" t="s">
        <v>155</v>
      </c>
      <c r="F30" s="8" t="s">
        <v>44</v>
      </c>
      <c r="G30" s="8" t="s">
        <v>40</v>
      </c>
      <c r="H30" s="8" t="s">
        <v>137</v>
      </c>
      <c r="I30" s="8" t="s">
        <v>156</v>
      </c>
      <c r="J30" s="8" t="s">
        <v>157</v>
      </c>
      <c r="K30" s="9" t="s">
        <v>44</v>
      </c>
      <c r="L30" s="9" t="s">
        <v>428</v>
      </c>
      <c r="M30" s="9"/>
      <c r="N30" s="9" t="s">
        <v>453</v>
      </c>
      <c r="O30" s="9"/>
      <c r="P30" s="9"/>
    </row>
    <row r="31" spans="1:16" x14ac:dyDescent="0.35">
      <c r="A31" s="22" t="s">
        <v>158</v>
      </c>
      <c r="B31" s="23"/>
      <c r="C31" s="23"/>
      <c r="D31" s="23"/>
      <c r="E31" s="23"/>
      <c r="F31" s="23"/>
      <c r="G31" s="23"/>
      <c r="H31" s="23"/>
      <c r="I31" s="23"/>
      <c r="J31" s="23"/>
      <c r="K31" s="6"/>
      <c r="L31" s="6"/>
      <c r="M31" s="6"/>
      <c r="N31" s="6"/>
      <c r="O31" s="6"/>
      <c r="P31" s="6"/>
    </row>
    <row r="32" spans="1:16" ht="23" customHeight="1" x14ac:dyDescent="0.35">
      <c r="A32" s="7" t="s">
        <v>159</v>
      </c>
      <c r="B32" s="8" t="s">
        <v>160</v>
      </c>
      <c r="C32" s="8" t="s">
        <v>161</v>
      </c>
      <c r="D32" s="8" t="s">
        <v>150</v>
      </c>
      <c r="E32" s="8" t="s">
        <v>162</v>
      </c>
      <c r="F32" s="8" t="s">
        <v>163</v>
      </c>
      <c r="G32" s="8" t="s">
        <v>40</v>
      </c>
      <c r="H32" s="8" t="s">
        <v>145</v>
      </c>
      <c r="I32" s="8" t="s">
        <v>164</v>
      </c>
      <c r="J32" s="8" t="s">
        <v>165</v>
      </c>
      <c r="K32" s="9" t="s">
        <v>65</v>
      </c>
      <c r="L32" s="9" t="s">
        <v>435</v>
      </c>
      <c r="M32" s="9"/>
      <c r="N32" s="9" t="s">
        <v>454</v>
      </c>
      <c r="O32" s="9"/>
      <c r="P32" s="9"/>
    </row>
    <row r="33" spans="1:16" ht="57.5" x14ac:dyDescent="0.35">
      <c r="A33" s="7" t="s">
        <v>166</v>
      </c>
      <c r="B33" s="8" t="s">
        <v>160</v>
      </c>
      <c r="C33" s="8" t="s">
        <v>167</v>
      </c>
      <c r="D33" s="8" t="s">
        <v>150</v>
      </c>
      <c r="E33" s="8" t="s">
        <v>168</v>
      </c>
      <c r="F33" s="8" t="s">
        <v>163</v>
      </c>
      <c r="G33" s="8" t="s">
        <v>40</v>
      </c>
      <c r="H33" s="8" t="s">
        <v>145</v>
      </c>
      <c r="I33" s="8" t="s">
        <v>164</v>
      </c>
      <c r="J33" s="8" t="s">
        <v>169</v>
      </c>
      <c r="K33" s="9" t="s">
        <v>65</v>
      </c>
      <c r="L33" s="9" t="s">
        <v>436</v>
      </c>
      <c r="M33" s="9"/>
      <c r="N33" s="9" t="s">
        <v>454</v>
      </c>
      <c r="O33" s="9"/>
      <c r="P33" s="9"/>
    </row>
    <row r="34" spans="1:16" ht="46" x14ac:dyDescent="0.35">
      <c r="A34" s="7" t="s">
        <v>170</v>
      </c>
      <c r="B34" s="8" t="s">
        <v>160</v>
      </c>
      <c r="C34" s="8" t="s">
        <v>171</v>
      </c>
      <c r="D34" s="8" t="s">
        <v>150</v>
      </c>
      <c r="E34" s="8" t="s">
        <v>168</v>
      </c>
      <c r="F34" s="8" t="s">
        <v>163</v>
      </c>
      <c r="G34" s="8" t="s">
        <v>40</v>
      </c>
      <c r="H34" s="8" t="s">
        <v>145</v>
      </c>
      <c r="I34" s="8" t="s">
        <v>164</v>
      </c>
      <c r="J34" s="8" t="s">
        <v>172</v>
      </c>
      <c r="K34" s="9" t="s">
        <v>65</v>
      </c>
      <c r="L34" s="9" t="s">
        <v>437</v>
      </c>
      <c r="M34" s="9"/>
      <c r="N34" s="9" t="s">
        <v>454</v>
      </c>
      <c r="O34" s="9"/>
      <c r="P34" s="9"/>
    </row>
    <row r="35" spans="1:16" x14ac:dyDescent="0.35">
      <c r="A35" s="22" t="s">
        <v>173</v>
      </c>
      <c r="B35" s="23"/>
      <c r="C35" s="23"/>
      <c r="D35" s="23"/>
      <c r="E35" s="23"/>
      <c r="F35" s="23"/>
      <c r="G35" s="23"/>
      <c r="H35" s="23"/>
      <c r="I35" s="23"/>
      <c r="J35" s="23"/>
      <c r="K35" s="6"/>
      <c r="L35" s="6"/>
      <c r="M35" s="6"/>
      <c r="N35" s="6"/>
      <c r="O35" s="6"/>
      <c r="P35" s="6"/>
    </row>
    <row r="36" spans="1:16" ht="23" customHeight="1" x14ac:dyDescent="0.35">
      <c r="A36" s="7" t="s">
        <v>174</v>
      </c>
      <c r="B36" s="8" t="s">
        <v>175</v>
      </c>
      <c r="C36" s="8" t="s">
        <v>176</v>
      </c>
      <c r="D36" s="8" t="s">
        <v>37</v>
      </c>
      <c r="E36" s="8" t="s">
        <v>155</v>
      </c>
      <c r="F36" s="8" t="s">
        <v>44</v>
      </c>
      <c r="G36" s="8" t="s">
        <v>40</v>
      </c>
      <c r="H36" s="8" t="s">
        <v>177</v>
      </c>
      <c r="I36" s="8" t="s">
        <v>178</v>
      </c>
      <c r="J36" s="8" t="s">
        <v>179</v>
      </c>
      <c r="K36" s="9" t="s">
        <v>44</v>
      </c>
      <c r="L36" s="9" t="s">
        <v>429</v>
      </c>
      <c r="M36" s="9"/>
      <c r="N36" s="9"/>
      <c r="O36" s="9"/>
      <c r="P36" s="9"/>
    </row>
    <row r="37" spans="1:16" ht="23" customHeight="1" x14ac:dyDescent="0.35">
      <c r="A37" s="7" t="s">
        <v>180</v>
      </c>
      <c r="B37" s="8" t="s">
        <v>175</v>
      </c>
      <c r="C37" s="8" t="s">
        <v>181</v>
      </c>
      <c r="D37" s="8" t="s">
        <v>37</v>
      </c>
      <c r="E37" s="8" t="s">
        <v>182</v>
      </c>
      <c r="F37" s="8" t="s">
        <v>183</v>
      </c>
      <c r="G37" s="8" t="s">
        <v>51</v>
      </c>
      <c r="H37" s="8" t="s">
        <v>177</v>
      </c>
      <c r="I37" s="8" t="s">
        <v>178</v>
      </c>
      <c r="J37" s="8" t="s">
        <v>184</v>
      </c>
      <c r="K37" s="9" t="s">
        <v>44</v>
      </c>
      <c r="L37" s="9" t="s">
        <v>422</v>
      </c>
      <c r="M37" s="9"/>
      <c r="N37" s="9"/>
      <c r="O37" s="9"/>
      <c r="P37" s="9"/>
    </row>
    <row r="38" spans="1:16" ht="23" customHeight="1" x14ac:dyDescent="0.35">
      <c r="A38" s="7" t="s">
        <v>185</v>
      </c>
      <c r="B38" s="8" t="s">
        <v>175</v>
      </c>
      <c r="C38" s="8" t="s">
        <v>186</v>
      </c>
      <c r="D38" s="8" t="s">
        <v>37</v>
      </c>
      <c r="E38" s="8" t="s">
        <v>182</v>
      </c>
      <c r="F38" s="8" t="s">
        <v>183</v>
      </c>
      <c r="G38" s="8" t="s">
        <v>51</v>
      </c>
      <c r="H38" s="8" t="s">
        <v>177</v>
      </c>
      <c r="I38" s="8" t="s">
        <v>178</v>
      </c>
      <c r="J38" s="8" t="s">
        <v>187</v>
      </c>
      <c r="K38" s="9" t="s">
        <v>44</v>
      </c>
      <c r="L38" s="9" t="s">
        <v>422</v>
      </c>
      <c r="M38" s="9"/>
      <c r="N38" s="9"/>
      <c r="O38" s="9"/>
      <c r="P38" s="9"/>
    </row>
    <row r="39" spans="1:16" ht="23" customHeight="1" x14ac:dyDescent="0.35">
      <c r="A39" s="7" t="s">
        <v>188</v>
      </c>
      <c r="B39" s="8" t="s">
        <v>175</v>
      </c>
      <c r="C39" s="8" t="s">
        <v>189</v>
      </c>
      <c r="D39" s="8" t="s">
        <v>37</v>
      </c>
      <c r="E39" s="8" t="s">
        <v>190</v>
      </c>
      <c r="F39" s="8" t="s">
        <v>191</v>
      </c>
      <c r="G39" s="8" t="s">
        <v>40</v>
      </c>
      <c r="H39" s="8" t="s">
        <v>177</v>
      </c>
      <c r="I39" s="8" t="s">
        <v>192</v>
      </c>
      <c r="J39" s="8" t="s">
        <v>193</v>
      </c>
      <c r="K39" s="9" t="s">
        <v>44</v>
      </c>
      <c r="L39" s="9" t="s">
        <v>194</v>
      </c>
      <c r="M39" s="9"/>
      <c r="N39" s="9" t="s">
        <v>455</v>
      </c>
      <c r="O39" s="9"/>
      <c r="P39" s="9"/>
    </row>
    <row r="40" spans="1:16" ht="23" customHeight="1" x14ac:dyDescent="0.35">
      <c r="A40" s="7" t="s">
        <v>195</v>
      </c>
      <c r="B40" s="8" t="s">
        <v>175</v>
      </c>
      <c r="C40" s="8" t="s">
        <v>196</v>
      </c>
      <c r="D40" s="8" t="s">
        <v>37</v>
      </c>
      <c r="E40" s="8" t="s">
        <v>197</v>
      </c>
      <c r="F40" s="8" t="s">
        <v>198</v>
      </c>
      <c r="G40" s="8" t="s">
        <v>40</v>
      </c>
      <c r="H40" s="8" t="s">
        <v>177</v>
      </c>
      <c r="I40" s="8" t="s">
        <v>192</v>
      </c>
      <c r="J40" s="8" t="s">
        <v>199</v>
      </c>
      <c r="K40" s="9" t="s">
        <v>44</v>
      </c>
      <c r="L40" s="9" t="s">
        <v>200</v>
      </c>
      <c r="M40" s="9"/>
      <c r="N40" s="9"/>
      <c r="O40" s="9"/>
      <c r="P40" s="9"/>
    </row>
    <row r="41" spans="1:16" ht="23" customHeight="1" x14ac:dyDescent="0.35">
      <c r="A41" s="7" t="s">
        <v>201</v>
      </c>
      <c r="B41" s="8" t="s">
        <v>175</v>
      </c>
      <c r="C41" s="8" t="s">
        <v>202</v>
      </c>
      <c r="D41" s="8" t="s">
        <v>37</v>
      </c>
      <c r="E41" s="8" t="s">
        <v>197</v>
      </c>
      <c r="F41" s="8" t="s">
        <v>198</v>
      </c>
      <c r="G41" s="8" t="s">
        <v>40</v>
      </c>
      <c r="H41" s="8" t="s">
        <v>177</v>
      </c>
      <c r="I41" s="8" t="s">
        <v>192</v>
      </c>
      <c r="J41" s="8" t="s">
        <v>203</v>
      </c>
      <c r="K41" s="9" t="s">
        <v>44</v>
      </c>
      <c r="L41" s="9" t="s">
        <v>200</v>
      </c>
      <c r="M41" s="9"/>
      <c r="N41" s="9"/>
      <c r="O41" s="9"/>
      <c r="P41" s="9"/>
    </row>
    <row r="42" spans="1:16" x14ac:dyDescent="0.35">
      <c r="A42" s="22" t="s">
        <v>204</v>
      </c>
      <c r="B42" s="23"/>
      <c r="C42" s="23"/>
      <c r="D42" s="23"/>
      <c r="E42" s="23"/>
      <c r="F42" s="23"/>
      <c r="G42" s="23"/>
      <c r="H42" s="23"/>
      <c r="I42" s="23"/>
      <c r="J42" s="23"/>
      <c r="K42" s="6"/>
      <c r="L42" s="6"/>
      <c r="M42" s="6"/>
      <c r="N42" s="6"/>
      <c r="O42" s="6"/>
      <c r="P42" s="6"/>
    </row>
    <row r="43" spans="1:16" ht="23" customHeight="1" x14ac:dyDescent="0.35">
      <c r="A43" s="7" t="s">
        <v>205</v>
      </c>
      <c r="B43" s="8" t="s">
        <v>206</v>
      </c>
      <c r="C43" s="8" t="s">
        <v>207</v>
      </c>
      <c r="D43" s="8" t="s">
        <v>134</v>
      </c>
      <c r="E43" s="8" t="s">
        <v>208</v>
      </c>
      <c r="F43" s="8" t="s">
        <v>209</v>
      </c>
      <c r="G43" s="8" t="s">
        <v>51</v>
      </c>
      <c r="H43" s="8" t="s">
        <v>137</v>
      </c>
      <c r="I43" s="8" t="s">
        <v>210</v>
      </c>
      <c r="J43" s="8" t="s">
        <v>211</v>
      </c>
      <c r="K43" s="9" t="s">
        <v>44</v>
      </c>
      <c r="L43" s="9" t="s">
        <v>212</v>
      </c>
      <c r="M43" s="9"/>
      <c r="N43" s="9"/>
      <c r="O43" s="9"/>
      <c r="P43" s="9"/>
    </row>
    <row r="44" spans="1:16" ht="23" customHeight="1" x14ac:dyDescent="0.35">
      <c r="A44" s="7" t="s">
        <v>213</v>
      </c>
      <c r="B44" s="8" t="s">
        <v>206</v>
      </c>
      <c r="C44" s="8" t="s">
        <v>214</v>
      </c>
      <c r="D44" s="8" t="s">
        <v>134</v>
      </c>
      <c r="E44" s="8" t="s">
        <v>215</v>
      </c>
      <c r="F44" s="8" t="s">
        <v>209</v>
      </c>
      <c r="G44" s="8" t="s">
        <v>51</v>
      </c>
      <c r="H44" s="8" t="s">
        <v>137</v>
      </c>
      <c r="I44" s="8" t="s">
        <v>210</v>
      </c>
      <c r="J44" s="8" t="s">
        <v>211</v>
      </c>
      <c r="K44" s="9" t="s">
        <v>44</v>
      </c>
      <c r="L44" s="9" t="s">
        <v>438</v>
      </c>
      <c r="M44" s="9"/>
      <c r="N44" s="9"/>
      <c r="O44" s="9"/>
      <c r="P44" s="9"/>
    </row>
    <row r="45" spans="1:16" ht="23" customHeight="1" x14ac:dyDescent="0.35">
      <c r="A45" s="7" t="s">
        <v>217</v>
      </c>
      <c r="B45" s="8" t="s">
        <v>206</v>
      </c>
      <c r="C45" s="8" t="s">
        <v>218</v>
      </c>
      <c r="D45" s="8" t="s">
        <v>134</v>
      </c>
      <c r="E45" s="8" t="s">
        <v>219</v>
      </c>
      <c r="F45" s="8" t="s">
        <v>209</v>
      </c>
      <c r="G45" s="8" t="s">
        <v>51</v>
      </c>
      <c r="H45" s="8" t="s">
        <v>137</v>
      </c>
      <c r="I45" s="8" t="s">
        <v>210</v>
      </c>
      <c r="J45" s="8" t="s">
        <v>211</v>
      </c>
      <c r="K45" s="9" t="s">
        <v>44</v>
      </c>
      <c r="L45" s="9" t="s">
        <v>216</v>
      </c>
      <c r="M45" s="9"/>
      <c r="N45" s="9"/>
      <c r="O45" s="9"/>
      <c r="P45" s="9"/>
    </row>
    <row r="46" spans="1:16" ht="57.5" customHeight="1" x14ac:dyDescent="0.35">
      <c r="A46" s="7" t="s">
        <v>220</v>
      </c>
      <c r="B46" s="8" t="s">
        <v>206</v>
      </c>
      <c r="C46" s="8" t="s">
        <v>221</v>
      </c>
      <c r="D46" s="8" t="s">
        <v>134</v>
      </c>
      <c r="E46" s="8" t="s">
        <v>222</v>
      </c>
      <c r="F46" s="8" t="s">
        <v>209</v>
      </c>
      <c r="G46" s="8" t="s">
        <v>223</v>
      </c>
      <c r="H46" s="8" t="s">
        <v>137</v>
      </c>
      <c r="I46" s="8" t="s">
        <v>210</v>
      </c>
      <c r="J46" s="8" t="s">
        <v>211</v>
      </c>
      <c r="K46" s="9" t="s">
        <v>44</v>
      </c>
      <c r="L46" s="9" t="s">
        <v>224</v>
      </c>
      <c r="M46" s="9"/>
      <c r="N46" s="9"/>
      <c r="O46" s="9"/>
      <c r="P46" s="9"/>
    </row>
    <row r="47" spans="1:16" ht="23" customHeight="1" x14ac:dyDescent="0.35">
      <c r="A47" s="7" t="s">
        <v>225</v>
      </c>
      <c r="B47" s="8" t="s">
        <v>206</v>
      </c>
      <c r="C47" s="8" t="s">
        <v>226</v>
      </c>
      <c r="D47" s="8" t="s">
        <v>134</v>
      </c>
      <c r="E47" s="8" t="s">
        <v>227</v>
      </c>
      <c r="F47" s="8" t="s">
        <v>209</v>
      </c>
      <c r="G47" s="8" t="s">
        <v>51</v>
      </c>
      <c r="H47" s="8" t="s">
        <v>137</v>
      </c>
      <c r="I47" s="8" t="s">
        <v>210</v>
      </c>
      <c r="J47" s="8" t="s">
        <v>211</v>
      </c>
      <c r="K47" s="9" t="s">
        <v>44</v>
      </c>
      <c r="L47" s="9" t="s">
        <v>216</v>
      </c>
      <c r="M47" s="9"/>
      <c r="N47" s="9"/>
      <c r="O47" s="9"/>
      <c r="P47" s="9"/>
    </row>
    <row r="48" spans="1:16" ht="23" customHeight="1" x14ac:dyDescent="0.35">
      <c r="A48" s="7" t="s">
        <v>228</v>
      </c>
      <c r="B48" s="8" t="s">
        <v>206</v>
      </c>
      <c r="C48" s="8" t="s">
        <v>229</v>
      </c>
      <c r="D48" s="8" t="s">
        <v>134</v>
      </c>
      <c r="E48" s="8" t="s">
        <v>230</v>
      </c>
      <c r="F48" s="8" t="s">
        <v>209</v>
      </c>
      <c r="G48" s="8" t="s">
        <v>51</v>
      </c>
      <c r="H48" s="8" t="s">
        <v>137</v>
      </c>
      <c r="I48" s="8" t="s">
        <v>210</v>
      </c>
      <c r="J48" s="8" t="s">
        <v>211</v>
      </c>
      <c r="K48" s="9" t="s">
        <v>44</v>
      </c>
      <c r="L48" s="9" t="s">
        <v>216</v>
      </c>
      <c r="M48" s="9"/>
      <c r="N48" s="9"/>
      <c r="O48" s="9"/>
      <c r="P48" s="9"/>
    </row>
    <row r="49" spans="1:16" ht="23" customHeight="1" x14ac:dyDescent="0.35">
      <c r="A49" s="7" t="s">
        <v>231</v>
      </c>
      <c r="B49" s="8" t="s">
        <v>206</v>
      </c>
      <c r="C49" s="8" t="s">
        <v>232</v>
      </c>
      <c r="D49" s="8" t="s">
        <v>134</v>
      </c>
      <c r="E49" s="8" t="s">
        <v>233</v>
      </c>
      <c r="F49" s="8" t="s">
        <v>209</v>
      </c>
      <c r="G49" s="8" t="s">
        <v>51</v>
      </c>
      <c r="H49" s="8" t="s">
        <v>137</v>
      </c>
      <c r="I49" s="8" t="s">
        <v>210</v>
      </c>
      <c r="J49" s="8" t="s">
        <v>211</v>
      </c>
      <c r="K49" s="9" t="s">
        <v>44</v>
      </c>
      <c r="L49" s="9" t="s">
        <v>216</v>
      </c>
      <c r="M49" s="9"/>
      <c r="N49" s="9"/>
      <c r="O49" s="9"/>
      <c r="P49" s="9"/>
    </row>
    <row r="50" spans="1:16" ht="23" customHeight="1" x14ac:dyDescent="0.35">
      <c r="A50" s="7" t="s">
        <v>234</v>
      </c>
      <c r="B50" s="8" t="s">
        <v>206</v>
      </c>
      <c r="C50" s="8" t="s">
        <v>235</v>
      </c>
      <c r="D50" s="8" t="s">
        <v>134</v>
      </c>
      <c r="E50" s="8" t="s">
        <v>236</v>
      </c>
      <c r="F50" s="8" t="s">
        <v>209</v>
      </c>
      <c r="G50" s="8" t="s">
        <v>51</v>
      </c>
      <c r="H50" s="8" t="s">
        <v>137</v>
      </c>
      <c r="I50" s="8" t="s">
        <v>210</v>
      </c>
      <c r="J50" s="8" t="s">
        <v>237</v>
      </c>
      <c r="K50" s="9" t="s">
        <v>44</v>
      </c>
      <c r="L50" s="9" t="s">
        <v>238</v>
      </c>
      <c r="M50" s="9"/>
      <c r="N50" s="9"/>
      <c r="O50" s="9"/>
      <c r="P50" s="9"/>
    </row>
    <row r="51" spans="1:16" x14ac:dyDescent="0.35">
      <c r="A51" s="7" t="s">
        <v>239</v>
      </c>
      <c r="B51" s="8" t="s">
        <v>206</v>
      </c>
      <c r="C51" s="8" t="s">
        <v>240</v>
      </c>
      <c r="D51" s="8" t="s">
        <v>134</v>
      </c>
      <c r="E51" s="8" t="s">
        <v>241</v>
      </c>
      <c r="F51" s="8" t="s">
        <v>209</v>
      </c>
      <c r="G51" s="8" t="s">
        <v>51</v>
      </c>
      <c r="H51" s="8" t="s">
        <v>137</v>
      </c>
      <c r="I51" s="8" t="s">
        <v>210</v>
      </c>
      <c r="J51" s="8" t="s">
        <v>237</v>
      </c>
      <c r="K51" s="9" t="s">
        <v>44</v>
      </c>
      <c r="L51" s="9" t="s">
        <v>242</v>
      </c>
      <c r="M51" s="9"/>
      <c r="N51" s="9"/>
      <c r="O51" s="9"/>
      <c r="P51" s="9"/>
    </row>
    <row r="52" spans="1:16" x14ac:dyDescent="0.35">
      <c r="A52" s="22" t="s">
        <v>243</v>
      </c>
      <c r="B52" s="23"/>
      <c r="C52" s="23"/>
      <c r="D52" s="23"/>
      <c r="E52" s="23"/>
      <c r="F52" s="23"/>
      <c r="G52" s="23"/>
      <c r="H52" s="23"/>
      <c r="I52" s="23"/>
      <c r="J52" s="23"/>
      <c r="K52" s="6"/>
      <c r="L52" s="6"/>
      <c r="M52" s="6"/>
      <c r="N52" s="6"/>
      <c r="O52" s="6"/>
      <c r="P52" s="6"/>
    </row>
    <row r="53" spans="1:16" ht="23" customHeight="1" x14ac:dyDescent="0.35">
      <c r="A53" s="7" t="s">
        <v>244</v>
      </c>
      <c r="B53" s="8" t="s">
        <v>245</v>
      </c>
      <c r="C53" s="8" t="s">
        <v>246</v>
      </c>
      <c r="D53" s="8" t="s">
        <v>247</v>
      </c>
      <c r="E53" s="8" t="s">
        <v>248</v>
      </c>
      <c r="F53" s="8" t="s">
        <v>249</v>
      </c>
      <c r="G53" s="8" t="s">
        <v>250</v>
      </c>
      <c r="H53" s="8" t="s">
        <v>251</v>
      </c>
      <c r="I53" s="8" t="s">
        <v>252</v>
      </c>
      <c r="J53" s="8" t="s">
        <v>253</v>
      </c>
      <c r="K53" s="9" t="s">
        <v>44</v>
      </c>
      <c r="L53" s="9" t="s">
        <v>439</v>
      </c>
      <c r="M53" s="9"/>
      <c r="N53" s="9" t="s">
        <v>456</v>
      </c>
      <c r="O53" s="9"/>
      <c r="P53" s="9"/>
    </row>
    <row r="54" spans="1:16" x14ac:dyDescent="0.35">
      <c r="A54" s="7" t="s">
        <v>254</v>
      </c>
      <c r="B54" s="8" t="s">
        <v>255</v>
      </c>
      <c r="C54" s="8" t="s">
        <v>256</v>
      </c>
      <c r="D54" s="8" t="s">
        <v>37</v>
      </c>
      <c r="E54" s="8" t="s">
        <v>257</v>
      </c>
      <c r="F54" s="8" t="s">
        <v>258</v>
      </c>
      <c r="G54" s="8" t="s">
        <v>250</v>
      </c>
      <c r="H54" s="8" t="s">
        <v>251</v>
      </c>
      <c r="I54" s="8" t="s">
        <v>259</v>
      </c>
      <c r="J54" s="8" t="s">
        <v>260</v>
      </c>
      <c r="K54" s="9" t="s">
        <v>44</v>
      </c>
      <c r="L54" s="9" t="s">
        <v>422</v>
      </c>
      <c r="M54" s="9"/>
      <c r="N54" s="9"/>
      <c r="O54" s="9"/>
      <c r="P54" s="9"/>
    </row>
    <row r="55" spans="1:16" x14ac:dyDescent="0.35">
      <c r="A55" s="22" t="s">
        <v>261</v>
      </c>
      <c r="B55" s="23"/>
      <c r="C55" s="23"/>
      <c r="D55" s="23"/>
      <c r="E55" s="23"/>
      <c r="F55" s="23"/>
      <c r="G55" s="23"/>
      <c r="H55" s="23"/>
      <c r="I55" s="23"/>
      <c r="J55" s="23"/>
      <c r="K55" s="6"/>
      <c r="L55" s="6"/>
      <c r="M55" s="6"/>
      <c r="N55" s="6"/>
      <c r="O55" s="6"/>
      <c r="P55" s="6"/>
    </row>
    <row r="56" spans="1:16" ht="23" customHeight="1" x14ac:dyDescent="0.35">
      <c r="A56" s="7" t="s">
        <v>262</v>
      </c>
      <c r="B56" s="8" t="s">
        <v>263</v>
      </c>
      <c r="C56" s="8" t="s">
        <v>264</v>
      </c>
      <c r="D56" s="8" t="s">
        <v>37</v>
      </c>
      <c r="E56" s="8" t="s">
        <v>182</v>
      </c>
      <c r="F56" s="8" t="s">
        <v>183</v>
      </c>
      <c r="G56" s="8" t="s">
        <v>40</v>
      </c>
      <c r="H56" s="8" t="s">
        <v>251</v>
      </c>
      <c r="I56" s="8" t="s">
        <v>265</v>
      </c>
      <c r="J56" s="8" t="s">
        <v>266</v>
      </c>
      <c r="K56" s="9" t="s">
        <v>44</v>
      </c>
      <c r="L56" s="9" t="s">
        <v>430</v>
      </c>
      <c r="M56" s="9"/>
      <c r="N56" s="9"/>
      <c r="O56" s="9"/>
      <c r="P56" s="9"/>
    </row>
    <row r="57" spans="1:16" ht="23" customHeight="1" x14ac:dyDescent="0.35">
      <c r="A57" s="7" t="s">
        <v>267</v>
      </c>
      <c r="B57" s="8" t="s">
        <v>265</v>
      </c>
      <c r="C57" s="8" t="s">
        <v>268</v>
      </c>
      <c r="D57" s="8" t="s">
        <v>37</v>
      </c>
      <c r="E57" s="8" t="s">
        <v>431</v>
      </c>
      <c r="F57" s="8" t="s">
        <v>269</v>
      </c>
      <c r="G57" s="8" t="s">
        <v>40</v>
      </c>
      <c r="H57" s="8" t="s">
        <v>251</v>
      </c>
      <c r="I57" s="8" t="s">
        <v>265</v>
      </c>
      <c r="J57" s="8" t="s">
        <v>270</v>
      </c>
      <c r="K57" s="9" t="s">
        <v>44</v>
      </c>
      <c r="L57" s="9" t="s">
        <v>432</v>
      </c>
      <c r="M57" s="9"/>
      <c r="N57" s="9"/>
      <c r="O57" s="9"/>
      <c r="P57" s="9"/>
    </row>
    <row r="58" spans="1:16" ht="23" customHeight="1" x14ac:dyDescent="0.35">
      <c r="A58" s="7" t="s">
        <v>271</v>
      </c>
      <c r="B58" s="8" t="s">
        <v>265</v>
      </c>
      <c r="C58" s="8" t="s">
        <v>272</v>
      </c>
      <c r="D58" s="8" t="s">
        <v>37</v>
      </c>
      <c r="E58" s="8" t="s">
        <v>431</v>
      </c>
      <c r="F58" s="8" t="s">
        <v>269</v>
      </c>
      <c r="G58" s="8" t="s">
        <v>40</v>
      </c>
      <c r="H58" s="8" t="s">
        <v>137</v>
      </c>
      <c r="I58" s="8" t="s">
        <v>265</v>
      </c>
      <c r="J58" s="8" t="s">
        <v>273</v>
      </c>
      <c r="K58" s="9" t="s">
        <v>44</v>
      </c>
      <c r="L58" s="9" t="s">
        <v>274</v>
      </c>
      <c r="M58" s="9"/>
      <c r="N58" s="9"/>
      <c r="O58" s="9"/>
      <c r="P58" s="9"/>
    </row>
    <row r="59" spans="1:16" ht="23" customHeight="1" x14ac:dyDescent="0.35">
      <c r="A59" s="7" t="s">
        <v>275</v>
      </c>
      <c r="B59" s="8" t="s">
        <v>265</v>
      </c>
      <c r="C59" s="8" t="s">
        <v>276</v>
      </c>
      <c r="D59" s="8" t="s">
        <v>37</v>
      </c>
      <c r="E59" s="8" t="s">
        <v>431</v>
      </c>
      <c r="F59" s="8" t="s">
        <v>269</v>
      </c>
      <c r="G59" s="8" t="s">
        <v>40</v>
      </c>
      <c r="H59" s="8" t="s">
        <v>277</v>
      </c>
      <c r="I59" s="8" t="s">
        <v>265</v>
      </c>
      <c r="J59" s="8" t="s">
        <v>278</v>
      </c>
      <c r="K59" s="9" t="s">
        <v>44</v>
      </c>
      <c r="L59" s="9" t="s">
        <v>274</v>
      </c>
      <c r="M59" s="9"/>
      <c r="N59" s="9"/>
      <c r="O59" s="9"/>
      <c r="P59" s="9"/>
    </row>
    <row r="60" spans="1:16" ht="23" customHeight="1" x14ac:dyDescent="0.35">
      <c r="A60" s="7" t="s">
        <v>279</v>
      </c>
      <c r="B60" s="8" t="s">
        <v>265</v>
      </c>
      <c r="C60" s="8" t="s">
        <v>280</v>
      </c>
      <c r="D60" s="8" t="s">
        <v>37</v>
      </c>
      <c r="E60" s="8" t="s">
        <v>431</v>
      </c>
      <c r="F60" s="8" t="s">
        <v>269</v>
      </c>
      <c r="G60" s="8" t="s">
        <v>40</v>
      </c>
      <c r="H60" s="8" t="s">
        <v>281</v>
      </c>
      <c r="I60" s="8" t="s">
        <v>265</v>
      </c>
      <c r="J60" s="8" t="s">
        <v>282</v>
      </c>
      <c r="K60" s="9" t="s">
        <v>44</v>
      </c>
      <c r="L60" s="9" t="s">
        <v>274</v>
      </c>
      <c r="M60" s="9"/>
      <c r="N60" s="9" t="s">
        <v>457</v>
      </c>
      <c r="O60" s="9"/>
      <c r="P60" s="9"/>
    </row>
    <row r="61" spans="1:16" ht="34.5" customHeight="1" x14ac:dyDescent="0.35">
      <c r="A61" s="7" t="s">
        <v>283</v>
      </c>
      <c r="B61" s="8" t="s">
        <v>265</v>
      </c>
      <c r="C61" s="8" t="s">
        <v>284</v>
      </c>
      <c r="D61" s="8" t="s">
        <v>37</v>
      </c>
      <c r="E61" s="8" t="s">
        <v>431</v>
      </c>
      <c r="F61" s="8" t="s">
        <v>269</v>
      </c>
      <c r="G61" s="8" t="s">
        <v>40</v>
      </c>
      <c r="H61" s="8" t="s">
        <v>285</v>
      </c>
      <c r="I61" s="8" t="s">
        <v>265</v>
      </c>
      <c r="J61" s="8" t="s">
        <v>286</v>
      </c>
      <c r="K61" s="9" t="s">
        <v>44</v>
      </c>
      <c r="L61" s="9" t="s">
        <v>274</v>
      </c>
      <c r="M61" s="9"/>
      <c r="N61" s="9" t="s">
        <v>458</v>
      </c>
      <c r="O61" s="9"/>
      <c r="P61" s="9"/>
    </row>
    <row r="62" spans="1:16" ht="23" customHeight="1" x14ac:dyDescent="0.35">
      <c r="A62" s="7" t="s">
        <v>287</v>
      </c>
      <c r="B62" s="8" t="s">
        <v>288</v>
      </c>
      <c r="C62" s="8" t="s">
        <v>289</v>
      </c>
      <c r="D62" s="8" t="s">
        <v>37</v>
      </c>
      <c r="E62" s="8" t="s">
        <v>290</v>
      </c>
      <c r="F62" s="8" t="s">
        <v>291</v>
      </c>
      <c r="G62" s="8" t="s">
        <v>40</v>
      </c>
      <c r="H62" s="8" t="s">
        <v>277</v>
      </c>
      <c r="I62" s="8" t="s">
        <v>292</v>
      </c>
      <c r="J62" s="8" t="s">
        <v>293</v>
      </c>
      <c r="K62" s="9" t="s">
        <v>44</v>
      </c>
      <c r="L62" s="9" t="s">
        <v>294</v>
      </c>
      <c r="M62" s="9"/>
      <c r="N62" s="9"/>
      <c r="O62" s="9"/>
      <c r="P62" s="9" t="s">
        <v>459</v>
      </c>
    </row>
    <row r="64" spans="1:16" x14ac:dyDescent="0.35">
      <c r="A64" t="s">
        <v>295</v>
      </c>
      <c r="C64" t="s">
        <v>296</v>
      </c>
      <c r="L64" t="s">
        <v>297</v>
      </c>
    </row>
  </sheetData>
  <autoFilter ref="A1:P62" xr:uid="{00000000-0009-0000-0000-000001000000}"/>
  <mergeCells count="8">
    <mergeCell ref="A2:J2"/>
    <mergeCell ref="A52:J52"/>
    <mergeCell ref="A42:J42"/>
    <mergeCell ref="A31:J31"/>
    <mergeCell ref="A55:J55"/>
    <mergeCell ref="A35:J35"/>
    <mergeCell ref="A4:J4"/>
    <mergeCell ref="A26:J26"/>
  </mergeCells>
  <dataValidations count="1">
    <dataValidation type="list" allowBlank="1" sqref="K2:K62 M2:M62 O2:O62" xr:uid="{00000000-0002-0000-0100-000000000000}">
      <formula1>"Yes,No,Change"</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0"/>
  <sheetViews>
    <sheetView workbookViewId="0">
      <pane xSplit="2" ySplit="4" topLeftCell="C5" activePane="bottomRight" state="frozen"/>
      <selection pane="topRight"/>
      <selection pane="bottomLeft"/>
      <selection pane="bottomRight"/>
    </sheetView>
  </sheetViews>
  <sheetFormatPr defaultRowHeight="14.5" x14ac:dyDescent="0.35"/>
  <cols>
    <col min="1" max="1" width="8" customWidth="1"/>
    <col min="2" max="2" width="52" customWidth="1"/>
    <col min="3" max="3" width="16" customWidth="1"/>
    <col min="4" max="4" width="34" customWidth="1"/>
    <col min="5" max="5" width="16" customWidth="1"/>
    <col min="6" max="6" width="12" customWidth="1"/>
    <col min="8" max="8" width="34" customWidth="1"/>
    <col min="9" max="9" width="22" customWidth="1"/>
  </cols>
  <sheetData>
    <row r="1" spans="1:9" ht="15.5" customHeight="1" x14ac:dyDescent="0.35">
      <c r="A1" s="10" t="s">
        <v>298</v>
      </c>
    </row>
    <row r="2" spans="1:9" ht="30" customHeight="1" x14ac:dyDescent="0.35">
      <c r="A2" s="24" t="s">
        <v>299</v>
      </c>
      <c r="B2" s="23"/>
      <c r="C2" s="23"/>
      <c r="D2" s="23"/>
      <c r="E2" s="23"/>
      <c r="F2" s="23"/>
    </row>
    <row r="4" spans="1:9" x14ac:dyDescent="0.35">
      <c r="A4" s="11" t="s">
        <v>17</v>
      </c>
      <c r="B4" s="11" t="s">
        <v>19</v>
      </c>
      <c r="C4" s="11" t="s">
        <v>300</v>
      </c>
      <c r="D4" s="11" t="s">
        <v>301</v>
      </c>
      <c r="E4" s="11" t="s">
        <v>24</v>
      </c>
      <c r="F4" s="11" t="s">
        <v>302</v>
      </c>
      <c r="H4" s="12" t="s">
        <v>303</v>
      </c>
    </row>
    <row r="5" spans="1:9" x14ac:dyDescent="0.35">
      <c r="A5" s="13" t="s">
        <v>34</v>
      </c>
      <c r="B5" s="8" t="s">
        <v>36</v>
      </c>
      <c r="C5" s="14" t="s">
        <v>304</v>
      </c>
      <c r="D5" s="13" t="s">
        <v>305</v>
      </c>
      <c r="E5" s="13" t="s">
        <v>306</v>
      </c>
      <c r="F5" s="13" t="s">
        <v>307</v>
      </c>
      <c r="H5" s="15" t="s">
        <v>308</v>
      </c>
      <c r="I5" s="15">
        <f>COUNTIF($C$5:$C$70,H5)</f>
        <v>26</v>
      </c>
    </row>
    <row r="6" spans="1:9" ht="23" customHeight="1" x14ac:dyDescent="0.35">
      <c r="A6" s="13" t="s">
        <v>46</v>
      </c>
      <c r="B6" s="8" t="s">
        <v>48</v>
      </c>
      <c r="C6" s="14" t="s">
        <v>304</v>
      </c>
      <c r="D6" s="13"/>
      <c r="E6" s="13" t="s">
        <v>137</v>
      </c>
      <c r="F6" s="13"/>
      <c r="H6" s="15" t="s">
        <v>309</v>
      </c>
      <c r="I6" s="15">
        <f>COUNTIF($C$5:$C$70,H6)</f>
        <v>14</v>
      </c>
    </row>
    <row r="7" spans="1:9" x14ac:dyDescent="0.35">
      <c r="A7" s="13" t="s">
        <v>56</v>
      </c>
      <c r="B7" s="8" t="s">
        <v>57</v>
      </c>
      <c r="C7" s="14" t="s">
        <v>304</v>
      </c>
      <c r="D7" s="13"/>
      <c r="E7" s="13" t="s">
        <v>137</v>
      </c>
      <c r="F7" s="13"/>
      <c r="H7" s="15" t="s">
        <v>304</v>
      </c>
      <c r="I7" s="15">
        <f>COUNTIF($C$5:$C$70,H7)</f>
        <v>19</v>
      </c>
    </row>
    <row r="8" spans="1:9" ht="23" customHeight="1" x14ac:dyDescent="0.35">
      <c r="A8" s="13" t="s">
        <v>61</v>
      </c>
      <c r="B8" s="8" t="s">
        <v>310</v>
      </c>
      <c r="C8" s="14" t="s">
        <v>309</v>
      </c>
      <c r="D8" s="13"/>
      <c r="E8" s="13" t="s">
        <v>137</v>
      </c>
      <c r="F8" s="13"/>
      <c r="H8" s="15" t="s">
        <v>311</v>
      </c>
      <c r="I8" s="15">
        <f>COUNTIF($C$5:$C$70,H8)</f>
        <v>3</v>
      </c>
    </row>
    <row r="9" spans="1:9" ht="23" customHeight="1" x14ac:dyDescent="0.35">
      <c r="A9" s="13" t="s">
        <v>67</v>
      </c>
      <c r="B9" s="8" t="s">
        <v>312</v>
      </c>
      <c r="C9" s="14" t="s">
        <v>308</v>
      </c>
      <c r="D9" s="13"/>
      <c r="E9" s="13" t="s">
        <v>137</v>
      </c>
      <c r="F9" s="13"/>
      <c r="H9" s="15" t="s">
        <v>313</v>
      </c>
      <c r="I9" s="15">
        <f>COUNTIF($C$5:$C$70,H9)</f>
        <v>4</v>
      </c>
    </row>
    <row r="10" spans="1:9" x14ac:dyDescent="0.35">
      <c r="A10" s="13" t="s">
        <v>71</v>
      </c>
      <c r="B10" s="8" t="s">
        <v>72</v>
      </c>
      <c r="C10" s="14" t="s">
        <v>304</v>
      </c>
      <c r="D10" s="13"/>
      <c r="E10" s="13" t="s">
        <v>137</v>
      </c>
      <c r="F10" s="13"/>
      <c r="H10" s="16" t="s">
        <v>314</v>
      </c>
      <c r="I10" s="16">
        <f>COUNTA($C$5:$C$70)</f>
        <v>66</v>
      </c>
    </row>
    <row r="11" spans="1:9" ht="23" customHeight="1" x14ac:dyDescent="0.35">
      <c r="A11" s="13" t="s">
        <v>76</v>
      </c>
      <c r="B11" s="8" t="s">
        <v>315</v>
      </c>
      <c r="C11" s="14" t="s">
        <v>313</v>
      </c>
      <c r="D11" s="13"/>
      <c r="E11" s="13" t="s">
        <v>137</v>
      </c>
      <c r="F11" s="13"/>
      <c r="H11" s="16" t="s">
        <v>316</v>
      </c>
      <c r="I11" s="17">
        <f>IF(I10=0,0,(I7+I8+I9)/I10)</f>
        <v>0.39393939393939392</v>
      </c>
    </row>
    <row r="12" spans="1:9" x14ac:dyDescent="0.35">
      <c r="A12" s="13" t="s">
        <v>79</v>
      </c>
      <c r="B12" s="8" t="s">
        <v>80</v>
      </c>
      <c r="C12" s="14" t="s">
        <v>304</v>
      </c>
      <c r="D12" s="13"/>
      <c r="E12" s="13" t="s">
        <v>137</v>
      </c>
      <c r="F12" s="13"/>
      <c r="H12" s="16" t="s">
        <v>317</v>
      </c>
      <c r="I12" s="16" t="str">
        <f>IF(I5+I6=0,"YES — all lines closed","NO — "&amp;(I5+I6)&amp;" lines open")</f>
        <v>NO — 40 lines open</v>
      </c>
    </row>
    <row r="13" spans="1:9" ht="23" customHeight="1" x14ac:dyDescent="0.35">
      <c r="A13" s="13" t="s">
        <v>83</v>
      </c>
      <c r="B13" s="8" t="s">
        <v>318</v>
      </c>
      <c r="C13" s="14" t="s">
        <v>304</v>
      </c>
      <c r="D13" s="13"/>
      <c r="E13" s="13" t="s">
        <v>137</v>
      </c>
      <c r="F13" s="13"/>
    </row>
    <row r="14" spans="1:9" ht="23" customHeight="1" x14ac:dyDescent="0.35">
      <c r="A14" s="13" t="s">
        <v>87</v>
      </c>
      <c r="B14" s="8" t="s">
        <v>319</v>
      </c>
      <c r="C14" s="14" t="s">
        <v>309</v>
      </c>
      <c r="D14" s="13"/>
      <c r="E14" s="13" t="s">
        <v>137</v>
      </c>
      <c r="F14" s="13"/>
      <c r="H14" s="18" t="s">
        <v>320</v>
      </c>
    </row>
    <row r="15" spans="1:9" x14ac:dyDescent="0.35">
      <c r="A15" s="13" t="s">
        <v>90</v>
      </c>
      <c r="B15" s="8" t="s">
        <v>91</v>
      </c>
      <c r="C15" s="14" t="s">
        <v>308</v>
      </c>
      <c r="D15" s="13"/>
      <c r="E15" s="13" t="s">
        <v>137</v>
      </c>
      <c r="F15" s="13"/>
    </row>
    <row r="16" spans="1:9" ht="23" customHeight="1" x14ac:dyDescent="0.35">
      <c r="A16" s="13" t="s">
        <v>94</v>
      </c>
      <c r="B16" s="8" t="s">
        <v>321</v>
      </c>
      <c r="C16" s="14" t="s">
        <v>304</v>
      </c>
      <c r="D16" s="13"/>
      <c r="E16" s="13" t="s">
        <v>137</v>
      </c>
      <c r="F16" s="13"/>
    </row>
    <row r="17" spans="1:6" x14ac:dyDescent="0.35">
      <c r="A17" s="13" t="s">
        <v>97</v>
      </c>
      <c r="B17" s="8" t="s">
        <v>98</v>
      </c>
      <c r="C17" s="14" t="s">
        <v>313</v>
      </c>
      <c r="D17" s="13"/>
      <c r="E17" s="13" t="s">
        <v>137</v>
      </c>
      <c r="F17" s="13"/>
    </row>
    <row r="18" spans="1:6" ht="23" customHeight="1" x14ac:dyDescent="0.35">
      <c r="A18" s="13" t="s">
        <v>101</v>
      </c>
      <c r="B18" s="8" t="s">
        <v>322</v>
      </c>
      <c r="C18" s="14" t="s">
        <v>304</v>
      </c>
      <c r="D18" s="13"/>
      <c r="E18" s="13" t="s">
        <v>137</v>
      </c>
      <c r="F18" s="13"/>
    </row>
    <row r="19" spans="1:6" ht="23" customHeight="1" x14ac:dyDescent="0.35">
      <c r="A19" s="13" t="s">
        <v>104</v>
      </c>
      <c r="B19" s="8" t="s">
        <v>323</v>
      </c>
      <c r="C19" s="14" t="s">
        <v>304</v>
      </c>
      <c r="D19" s="13"/>
      <c r="E19" s="13" t="s">
        <v>137</v>
      </c>
      <c r="F19" s="13"/>
    </row>
    <row r="20" spans="1:6" ht="23" customHeight="1" x14ac:dyDescent="0.35">
      <c r="A20" s="13" t="s">
        <v>107</v>
      </c>
      <c r="B20" s="8" t="s">
        <v>324</v>
      </c>
      <c r="C20" s="14" t="s">
        <v>309</v>
      </c>
      <c r="D20" s="13"/>
      <c r="E20" s="13" t="s">
        <v>137</v>
      </c>
      <c r="F20" s="13"/>
    </row>
    <row r="21" spans="1:6" ht="23" customHeight="1" x14ac:dyDescent="0.35">
      <c r="A21" s="13" t="s">
        <v>110</v>
      </c>
      <c r="B21" s="8" t="s">
        <v>325</v>
      </c>
      <c r="C21" s="14" t="s">
        <v>308</v>
      </c>
      <c r="D21" s="13"/>
      <c r="E21" s="13" t="s">
        <v>137</v>
      </c>
      <c r="F21" s="13"/>
    </row>
    <row r="22" spans="1:6" x14ac:dyDescent="0.35">
      <c r="A22" s="13" t="s">
        <v>114</v>
      </c>
      <c r="B22" s="8" t="s">
        <v>115</v>
      </c>
      <c r="C22" s="14" t="s">
        <v>304</v>
      </c>
      <c r="D22" s="13"/>
      <c r="E22" s="13" t="s">
        <v>137</v>
      </c>
      <c r="F22" s="13"/>
    </row>
    <row r="23" spans="1:6" x14ac:dyDescent="0.35">
      <c r="A23" s="13" t="s">
        <v>117</v>
      </c>
      <c r="B23" s="8" t="s">
        <v>326</v>
      </c>
      <c r="C23" s="14" t="s">
        <v>313</v>
      </c>
      <c r="D23" s="13"/>
      <c r="E23" s="13" t="s">
        <v>137</v>
      </c>
      <c r="F23" s="13"/>
    </row>
    <row r="24" spans="1:6" ht="23" customHeight="1" x14ac:dyDescent="0.35">
      <c r="A24" s="13" t="s">
        <v>120</v>
      </c>
      <c r="B24" s="8" t="s">
        <v>327</v>
      </c>
      <c r="C24" s="14" t="s">
        <v>304</v>
      </c>
      <c r="D24" s="13"/>
      <c r="E24" s="13" t="s">
        <v>137</v>
      </c>
      <c r="F24" s="13"/>
    </row>
    <row r="25" spans="1:6" ht="23" customHeight="1" x14ac:dyDescent="0.35">
      <c r="A25" s="13" t="s">
        <v>123</v>
      </c>
      <c r="B25" s="8" t="s">
        <v>328</v>
      </c>
      <c r="C25" s="14" t="s">
        <v>304</v>
      </c>
      <c r="D25" s="13"/>
      <c r="E25" s="13" t="s">
        <v>137</v>
      </c>
      <c r="F25" s="13"/>
    </row>
    <row r="26" spans="1:6" x14ac:dyDescent="0.35">
      <c r="A26" s="13" t="s">
        <v>126</v>
      </c>
      <c r="B26" s="8" t="s">
        <v>127</v>
      </c>
      <c r="C26" s="14" t="s">
        <v>309</v>
      </c>
      <c r="D26" s="13"/>
      <c r="E26" s="13" t="s">
        <v>137</v>
      </c>
      <c r="F26" s="13"/>
    </row>
    <row r="27" spans="1:6" x14ac:dyDescent="0.35">
      <c r="A27" s="13" t="s">
        <v>131</v>
      </c>
      <c r="B27" s="8" t="s">
        <v>329</v>
      </c>
      <c r="C27" s="14" t="s">
        <v>304</v>
      </c>
      <c r="D27" s="13"/>
      <c r="E27" s="13" t="s">
        <v>137</v>
      </c>
      <c r="F27" s="13" t="s">
        <v>307</v>
      </c>
    </row>
    <row r="28" spans="1:6" x14ac:dyDescent="0.35">
      <c r="A28" s="13" t="s">
        <v>139</v>
      </c>
      <c r="B28" s="8" t="s">
        <v>330</v>
      </c>
      <c r="C28" s="14" t="s">
        <v>304</v>
      </c>
      <c r="D28" s="13"/>
      <c r="E28" s="13" t="s">
        <v>145</v>
      </c>
      <c r="F28" s="13"/>
    </row>
    <row r="29" spans="1:6" x14ac:dyDescent="0.35">
      <c r="A29" s="13" t="s">
        <v>139</v>
      </c>
      <c r="B29" s="8" t="s">
        <v>331</v>
      </c>
      <c r="C29" s="14" t="s">
        <v>304</v>
      </c>
      <c r="D29" s="13"/>
      <c r="E29" s="13" t="s">
        <v>145</v>
      </c>
      <c r="F29" s="13"/>
    </row>
    <row r="30" spans="1:6" x14ac:dyDescent="0.35">
      <c r="A30" s="13" t="s">
        <v>139</v>
      </c>
      <c r="B30" s="8" t="s">
        <v>332</v>
      </c>
      <c r="C30" s="14" t="s">
        <v>304</v>
      </c>
      <c r="D30" s="13"/>
      <c r="E30" s="13" t="s">
        <v>145</v>
      </c>
      <c r="F30" s="13"/>
    </row>
    <row r="31" spans="1:6" x14ac:dyDescent="0.35">
      <c r="A31" s="13" t="s">
        <v>148</v>
      </c>
      <c r="B31" s="8" t="s">
        <v>333</v>
      </c>
      <c r="C31" s="14" t="s">
        <v>309</v>
      </c>
      <c r="D31" s="13"/>
      <c r="E31" s="13" t="s">
        <v>145</v>
      </c>
      <c r="F31" s="13"/>
    </row>
    <row r="32" spans="1:6" x14ac:dyDescent="0.35">
      <c r="A32" s="13" t="s">
        <v>148</v>
      </c>
      <c r="B32" s="8" t="s">
        <v>334</v>
      </c>
      <c r="C32" s="14" t="s">
        <v>309</v>
      </c>
      <c r="D32" s="13"/>
      <c r="E32" s="13" t="s">
        <v>145</v>
      </c>
      <c r="F32" s="13"/>
    </row>
    <row r="33" spans="1:6" x14ac:dyDescent="0.35">
      <c r="A33" s="13" t="s">
        <v>148</v>
      </c>
      <c r="B33" s="8" t="s">
        <v>335</v>
      </c>
      <c r="C33" s="14" t="s">
        <v>309</v>
      </c>
      <c r="D33" s="13"/>
      <c r="E33" s="13" t="s">
        <v>145</v>
      </c>
      <c r="F33" s="13"/>
    </row>
    <row r="34" spans="1:6" x14ac:dyDescent="0.35">
      <c r="A34" s="13" t="s">
        <v>148</v>
      </c>
      <c r="B34" s="8" t="s">
        <v>336</v>
      </c>
      <c r="C34" s="14" t="s">
        <v>309</v>
      </c>
      <c r="D34" s="13"/>
      <c r="E34" s="13" t="s">
        <v>145</v>
      </c>
      <c r="F34" s="13"/>
    </row>
    <row r="35" spans="1:6" x14ac:dyDescent="0.35">
      <c r="A35" s="13" t="s">
        <v>148</v>
      </c>
      <c r="B35" s="8" t="s">
        <v>337</v>
      </c>
      <c r="C35" s="14" t="s">
        <v>309</v>
      </c>
      <c r="D35" s="13"/>
      <c r="E35" s="13" t="s">
        <v>145</v>
      </c>
      <c r="F35" s="13"/>
    </row>
    <row r="36" spans="1:6" x14ac:dyDescent="0.35">
      <c r="A36" s="13" t="s">
        <v>148</v>
      </c>
      <c r="B36" s="8" t="s">
        <v>338</v>
      </c>
      <c r="C36" s="14" t="s">
        <v>309</v>
      </c>
      <c r="D36" s="13"/>
      <c r="E36" s="13" t="s">
        <v>145</v>
      </c>
      <c r="F36" s="13"/>
    </row>
    <row r="37" spans="1:6" x14ac:dyDescent="0.35">
      <c r="A37" s="13" t="s">
        <v>148</v>
      </c>
      <c r="B37" s="8" t="s">
        <v>339</v>
      </c>
      <c r="C37" s="14" t="s">
        <v>309</v>
      </c>
      <c r="D37" s="13"/>
      <c r="E37" s="13" t="s">
        <v>145</v>
      </c>
      <c r="F37" s="13"/>
    </row>
    <row r="38" spans="1:6" x14ac:dyDescent="0.35">
      <c r="A38" s="13" t="s">
        <v>139</v>
      </c>
      <c r="B38" s="8" t="s">
        <v>340</v>
      </c>
      <c r="C38" s="14" t="s">
        <v>309</v>
      </c>
      <c r="D38" s="13"/>
      <c r="E38" s="13" t="s">
        <v>145</v>
      </c>
      <c r="F38" s="13"/>
    </row>
    <row r="39" spans="1:6" x14ac:dyDescent="0.35">
      <c r="A39" s="13" t="s">
        <v>152</v>
      </c>
      <c r="B39" s="8" t="s">
        <v>341</v>
      </c>
      <c r="C39" s="14" t="s">
        <v>308</v>
      </c>
      <c r="D39" s="13"/>
      <c r="E39" s="13" t="s">
        <v>137</v>
      </c>
      <c r="F39" s="13"/>
    </row>
    <row r="40" spans="1:6" ht="23" customHeight="1" x14ac:dyDescent="0.35">
      <c r="A40" s="13" t="s">
        <v>342</v>
      </c>
      <c r="B40" s="8" t="s">
        <v>343</v>
      </c>
      <c r="C40" s="14" t="s">
        <v>304</v>
      </c>
      <c r="D40" s="13" t="s">
        <v>344</v>
      </c>
      <c r="E40" s="13" t="s">
        <v>145</v>
      </c>
      <c r="F40" s="13"/>
    </row>
    <row r="41" spans="1:6" ht="23" customHeight="1" x14ac:dyDescent="0.35">
      <c r="A41" s="13" t="s">
        <v>342</v>
      </c>
      <c r="B41" s="8" t="s">
        <v>345</v>
      </c>
      <c r="C41" s="14" t="s">
        <v>304</v>
      </c>
      <c r="D41" s="13" t="s">
        <v>344</v>
      </c>
      <c r="E41" s="13" t="s">
        <v>145</v>
      </c>
      <c r="F41" s="13"/>
    </row>
    <row r="42" spans="1:6" ht="23" customHeight="1" x14ac:dyDescent="0.35">
      <c r="A42" s="13" t="s">
        <v>342</v>
      </c>
      <c r="B42" s="8" t="s">
        <v>346</v>
      </c>
      <c r="C42" s="14" t="s">
        <v>304</v>
      </c>
      <c r="D42" s="13" t="s">
        <v>344</v>
      </c>
      <c r="E42" s="13" t="s">
        <v>145</v>
      </c>
      <c r="F42" s="13"/>
    </row>
    <row r="43" spans="1:6" ht="23" customHeight="1" x14ac:dyDescent="0.35">
      <c r="A43" s="13" t="s">
        <v>342</v>
      </c>
      <c r="B43" s="8" t="s">
        <v>347</v>
      </c>
      <c r="C43" s="14" t="s">
        <v>309</v>
      </c>
      <c r="D43" s="13" t="s">
        <v>348</v>
      </c>
      <c r="E43" s="13" t="s">
        <v>145</v>
      </c>
      <c r="F43" s="13"/>
    </row>
    <row r="44" spans="1:6" ht="23" customHeight="1" x14ac:dyDescent="0.35">
      <c r="A44" s="13" t="s">
        <v>342</v>
      </c>
      <c r="B44" s="8" t="s">
        <v>349</v>
      </c>
      <c r="C44" s="14" t="s">
        <v>309</v>
      </c>
      <c r="D44" s="13" t="s">
        <v>348</v>
      </c>
      <c r="E44" s="13" t="s">
        <v>145</v>
      </c>
      <c r="F44" s="13"/>
    </row>
    <row r="45" spans="1:6" ht="23" customHeight="1" x14ac:dyDescent="0.35">
      <c r="A45" s="13" t="s">
        <v>342</v>
      </c>
      <c r="B45" s="8" t="s">
        <v>350</v>
      </c>
      <c r="C45" s="14" t="s">
        <v>308</v>
      </c>
      <c r="D45" s="13" t="s">
        <v>351</v>
      </c>
      <c r="E45" s="13" t="s">
        <v>145</v>
      </c>
      <c r="F45" s="13"/>
    </row>
    <row r="46" spans="1:6" ht="23" customHeight="1" x14ac:dyDescent="0.35">
      <c r="A46" s="13" t="s">
        <v>342</v>
      </c>
      <c r="B46" s="8" t="s">
        <v>352</v>
      </c>
      <c r="C46" s="14" t="s">
        <v>308</v>
      </c>
      <c r="D46" s="13" t="s">
        <v>351</v>
      </c>
      <c r="E46" s="13" t="s">
        <v>145</v>
      </c>
      <c r="F46" s="13"/>
    </row>
    <row r="47" spans="1:6" x14ac:dyDescent="0.35">
      <c r="A47" s="13" t="s">
        <v>205</v>
      </c>
      <c r="B47" s="8" t="s">
        <v>207</v>
      </c>
      <c r="C47" s="14" t="s">
        <v>311</v>
      </c>
      <c r="D47" s="13" t="s">
        <v>208</v>
      </c>
      <c r="E47" s="13" t="s">
        <v>137</v>
      </c>
      <c r="F47" s="13"/>
    </row>
    <row r="48" spans="1:6" x14ac:dyDescent="0.35">
      <c r="A48" s="13" t="s">
        <v>213</v>
      </c>
      <c r="B48" s="8" t="s">
        <v>214</v>
      </c>
      <c r="C48" s="14" t="s">
        <v>311</v>
      </c>
      <c r="D48" s="13" t="s">
        <v>215</v>
      </c>
      <c r="E48" s="13" t="s">
        <v>137</v>
      </c>
      <c r="F48" s="13"/>
    </row>
    <row r="49" spans="1:6" x14ac:dyDescent="0.35">
      <c r="A49" s="13" t="s">
        <v>217</v>
      </c>
      <c r="B49" s="8" t="s">
        <v>218</v>
      </c>
      <c r="C49" s="14" t="s">
        <v>308</v>
      </c>
      <c r="D49" s="13" t="s">
        <v>219</v>
      </c>
      <c r="E49" s="13" t="s">
        <v>137</v>
      </c>
      <c r="F49" s="13"/>
    </row>
    <row r="50" spans="1:6" x14ac:dyDescent="0.35">
      <c r="A50" s="13" t="s">
        <v>220</v>
      </c>
      <c r="B50" s="8" t="s">
        <v>221</v>
      </c>
      <c r="C50" s="14" t="s">
        <v>313</v>
      </c>
      <c r="D50" s="13" t="s">
        <v>353</v>
      </c>
      <c r="E50" s="13" t="s">
        <v>137</v>
      </c>
      <c r="F50" s="13"/>
    </row>
    <row r="51" spans="1:6" x14ac:dyDescent="0.35">
      <c r="A51" s="13" t="s">
        <v>225</v>
      </c>
      <c r="B51" s="8" t="s">
        <v>226</v>
      </c>
      <c r="C51" s="14" t="s">
        <v>308</v>
      </c>
      <c r="D51" s="13" t="s">
        <v>227</v>
      </c>
      <c r="E51" s="13" t="s">
        <v>137</v>
      </c>
      <c r="F51" s="13"/>
    </row>
    <row r="52" spans="1:6" x14ac:dyDescent="0.35">
      <c r="A52" s="13" t="s">
        <v>228</v>
      </c>
      <c r="B52" s="8" t="s">
        <v>229</v>
      </c>
      <c r="C52" s="14" t="s">
        <v>308</v>
      </c>
      <c r="D52" s="13" t="s">
        <v>230</v>
      </c>
      <c r="E52" s="13" t="s">
        <v>137</v>
      </c>
      <c r="F52" s="13"/>
    </row>
    <row r="53" spans="1:6" x14ac:dyDescent="0.35">
      <c r="A53" s="13" t="s">
        <v>231</v>
      </c>
      <c r="B53" s="8" t="s">
        <v>232</v>
      </c>
      <c r="C53" s="14" t="s">
        <v>308</v>
      </c>
      <c r="D53" s="13" t="s">
        <v>233</v>
      </c>
      <c r="E53" s="13" t="s">
        <v>137</v>
      </c>
      <c r="F53" s="13"/>
    </row>
    <row r="54" spans="1:6" x14ac:dyDescent="0.35">
      <c r="A54" s="13" t="s">
        <v>234</v>
      </c>
      <c r="B54" s="8" t="s">
        <v>235</v>
      </c>
      <c r="C54" s="14" t="s">
        <v>311</v>
      </c>
      <c r="D54" s="13" t="s">
        <v>236</v>
      </c>
      <c r="E54" s="13" t="s">
        <v>137</v>
      </c>
      <c r="F54" s="13"/>
    </row>
    <row r="55" spans="1:6" x14ac:dyDescent="0.35">
      <c r="A55" s="13" t="s">
        <v>239</v>
      </c>
      <c r="B55" s="8" t="s">
        <v>240</v>
      </c>
      <c r="C55" s="14" t="s">
        <v>308</v>
      </c>
      <c r="D55" s="13" t="s">
        <v>241</v>
      </c>
      <c r="E55" s="13" t="s">
        <v>137</v>
      </c>
      <c r="F55" s="13"/>
    </row>
    <row r="56" spans="1:6" x14ac:dyDescent="0.35">
      <c r="A56" s="13" t="s">
        <v>174</v>
      </c>
      <c r="B56" s="8" t="s">
        <v>354</v>
      </c>
      <c r="C56" s="14" t="s">
        <v>308</v>
      </c>
      <c r="D56" s="13"/>
      <c r="E56" s="13" t="s">
        <v>177</v>
      </c>
      <c r="F56" s="13"/>
    </row>
    <row r="57" spans="1:6" x14ac:dyDescent="0.35">
      <c r="A57" s="13" t="s">
        <v>180</v>
      </c>
      <c r="B57" s="8" t="s">
        <v>355</v>
      </c>
      <c r="C57" s="14" t="s">
        <v>308</v>
      </c>
      <c r="D57" s="13"/>
      <c r="E57" s="13" t="s">
        <v>177</v>
      </c>
      <c r="F57" s="13"/>
    </row>
    <row r="58" spans="1:6" x14ac:dyDescent="0.35">
      <c r="A58" s="13" t="s">
        <v>185</v>
      </c>
      <c r="B58" s="8" t="s">
        <v>356</v>
      </c>
      <c r="C58" s="14" t="s">
        <v>308</v>
      </c>
      <c r="D58" s="13"/>
      <c r="E58" s="13" t="s">
        <v>177</v>
      </c>
      <c r="F58" s="13"/>
    </row>
    <row r="59" spans="1:6" x14ac:dyDescent="0.35">
      <c r="A59" s="13" t="s">
        <v>188</v>
      </c>
      <c r="B59" s="8" t="s">
        <v>357</v>
      </c>
      <c r="C59" s="14" t="s">
        <v>308</v>
      </c>
      <c r="D59" s="13"/>
      <c r="E59" s="13" t="s">
        <v>177</v>
      </c>
      <c r="F59" s="13"/>
    </row>
    <row r="60" spans="1:6" x14ac:dyDescent="0.35">
      <c r="A60" s="13" t="s">
        <v>195</v>
      </c>
      <c r="B60" s="8" t="s">
        <v>358</v>
      </c>
      <c r="C60" s="14" t="s">
        <v>308</v>
      </c>
      <c r="D60" s="13"/>
      <c r="E60" s="13" t="s">
        <v>177</v>
      </c>
      <c r="F60" s="13"/>
    </row>
    <row r="61" spans="1:6" x14ac:dyDescent="0.35">
      <c r="A61" s="13" t="s">
        <v>201</v>
      </c>
      <c r="B61" s="8" t="s">
        <v>359</v>
      </c>
      <c r="C61" s="14" t="s">
        <v>308</v>
      </c>
      <c r="D61" s="13"/>
      <c r="E61" s="13" t="s">
        <v>177</v>
      </c>
      <c r="F61" s="13"/>
    </row>
    <row r="62" spans="1:6" x14ac:dyDescent="0.35">
      <c r="A62" s="13" t="s">
        <v>244</v>
      </c>
      <c r="B62" s="8" t="s">
        <v>360</v>
      </c>
      <c r="C62" s="14" t="s">
        <v>308</v>
      </c>
      <c r="D62" s="13"/>
      <c r="E62" s="13" t="s">
        <v>251</v>
      </c>
      <c r="F62" s="13"/>
    </row>
    <row r="63" spans="1:6" x14ac:dyDescent="0.35">
      <c r="A63" s="13" t="s">
        <v>254</v>
      </c>
      <c r="B63" s="8" t="s">
        <v>361</v>
      </c>
      <c r="C63" s="14" t="s">
        <v>308</v>
      </c>
      <c r="D63" s="13"/>
      <c r="E63" s="13" t="s">
        <v>251</v>
      </c>
      <c r="F63" s="13"/>
    </row>
    <row r="64" spans="1:6" x14ac:dyDescent="0.35">
      <c r="A64" s="13" t="s">
        <v>262</v>
      </c>
      <c r="B64" s="8" t="s">
        <v>263</v>
      </c>
      <c r="C64" s="14" t="s">
        <v>308</v>
      </c>
      <c r="D64" s="13"/>
      <c r="E64" s="13" t="s">
        <v>251</v>
      </c>
      <c r="F64" s="13"/>
    </row>
    <row r="65" spans="1:6" x14ac:dyDescent="0.35">
      <c r="A65" s="13" t="s">
        <v>267</v>
      </c>
      <c r="B65" s="8" t="s">
        <v>362</v>
      </c>
      <c r="C65" s="14" t="s">
        <v>308</v>
      </c>
      <c r="D65" s="13"/>
      <c r="E65" s="13" t="s">
        <v>251</v>
      </c>
      <c r="F65" s="13"/>
    </row>
    <row r="66" spans="1:6" x14ac:dyDescent="0.35">
      <c r="A66" s="13" t="s">
        <v>271</v>
      </c>
      <c r="B66" s="8" t="s">
        <v>363</v>
      </c>
      <c r="C66" s="14" t="s">
        <v>308</v>
      </c>
      <c r="D66" s="13"/>
      <c r="E66" s="13" t="s">
        <v>137</v>
      </c>
      <c r="F66" s="13"/>
    </row>
    <row r="67" spans="1:6" x14ac:dyDescent="0.35">
      <c r="A67" s="13" t="s">
        <v>275</v>
      </c>
      <c r="B67" s="8" t="s">
        <v>364</v>
      </c>
      <c r="C67" s="14" t="s">
        <v>308</v>
      </c>
      <c r="D67" s="13"/>
      <c r="E67" s="13" t="s">
        <v>277</v>
      </c>
      <c r="F67" s="13"/>
    </row>
    <row r="68" spans="1:6" x14ac:dyDescent="0.35">
      <c r="A68" s="13" t="s">
        <v>279</v>
      </c>
      <c r="B68" s="8" t="s">
        <v>365</v>
      </c>
      <c r="C68" s="14" t="s">
        <v>308</v>
      </c>
      <c r="D68" s="13"/>
      <c r="E68" s="13" t="s">
        <v>281</v>
      </c>
      <c r="F68" s="13"/>
    </row>
    <row r="69" spans="1:6" x14ac:dyDescent="0.35">
      <c r="A69" s="13" t="s">
        <v>283</v>
      </c>
      <c r="B69" s="8" t="s">
        <v>366</v>
      </c>
      <c r="C69" s="14" t="s">
        <v>308</v>
      </c>
      <c r="D69" s="13"/>
      <c r="E69" s="13" t="s">
        <v>285</v>
      </c>
      <c r="F69" s="13"/>
    </row>
    <row r="70" spans="1:6" x14ac:dyDescent="0.35">
      <c r="A70" s="13" t="s">
        <v>287</v>
      </c>
      <c r="B70" s="8" t="s">
        <v>367</v>
      </c>
      <c r="C70" s="14" t="s">
        <v>308</v>
      </c>
      <c r="D70" s="13"/>
      <c r="E70" s="13" t="s">
        <v>277</v>
      </c>
      <c r="F70" s="13"/>
    </row>
  </sheetData>
  <mergeCells count="1">
    <mergeCell ref="A2:F2"/>
  </mergeCells>
  <dataValidations count="1">
    <dataValidation type="list" sqref="C5:C70" xr:uid="{00000000-0002-0000-0200-000000000000}">
      <formula1>"Not started,In progress,Complete,Evidence linked,N/A (reason)"</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
  <sheetViews>
    <sheetView workbookViewId="0">
      <selection activeCell="C8" sqref="C8"/>
    </sheetView>
  </sheetViews>
  <sheetFormatPr defaultRowHeight="14.5" x14ac:dyDescent="0.35"/>
  <cols>
    <col min="1" max="1" width="20" customWidth="1"/>
    <col min="2" max="2" width="90" customWidth="1"/>
    <col min="3" max="3" width="30" customWidth="1"/>
  </cols>
  <sheetData>
    <row r="1" spans="1:4" x14ac:dyDescent="0.35">
      <c r="A1" s="19" t="s">
        <v>300</v>
      </c>
      <c r="B1" s="19" t="s">
        <v>368</v>
      </c>
      <c r="C1" s="19" t="s">
        <v>369</v>
      </c>
    </row>
    <row r="2" spans="1:4" x14ac:dyDescent="0.35">
      <c r="A2" s="7" t="s">
        <v>308</v>
      </c>
      <c r="B2" s="8" t="s">
        <v>370</v>
      </c>
      <c r="C2" s="8" t="s">
        <v>40</v>
      </c>
    </row>
    <row r="3" spans="1:4" x14ac:dyDescent="0.35">
      <c r="A3" s="7" t="s">
        <v>309</v>
      </c>
      <c r="B3" s="8" t="s">
        <v>371</v>
      </c>
      <c r="C3" s="8" t="s">
        <v>40</v>
      </c>
    </row>
    <row r="4" spans="1:4" x14ac:dyDescent="0.35">
      <c r="A4" s="7" t="s">
        <v>304</v>
      </c>
      <c r="B4" s="8" t="s">
        <v>372</v>
      </c>
      <c r="C4" s="8" t="s">
        <v>44</v>
      </c>
    </row>
    <row r="5" spans="1:4" x14ac:dyDescent="0.35">
      <c r="A5" s="7" t="s">
        <v>311</v>
      </c>
      <c r="B5" s="8" t="s">
        <v>373</v>
      </c>
      <c r="C5" s="8" t="s">
        <v>44</v>
      </c>
    </row>
    <row r="6" spans="1:4" x14ac:dyDescent="0.35">
      <c r="A6" s="7" t="s">
        <v>313</v>
      </c>
      <c r="B6" s="8" t="s">
        <v>374</v>
      </c>
      <c r="C6" s="8" t="s">
        <v>375</v>
      </c>
      <c r="D6" t="s">
        <v>460</v>
      </c>
    </row>
    <row r="7" spans="1:4" x14ac:dyDescent="0.35">
      <c r="A7" s="20"/>
      <c r="B7" s="21"/>
      <c r="C7" s="21"/>
    </row>
    <row r="8" spans="1:4" ht="34.5" customHeight="1" x14ac:dyDescent="0.35">
      <c r="A8" s="7" t="s">
        <v>376</v>
      </c>
      <c r="B8" s="8" t="s">
        <v>377</v>
      </c>
      <c r="C8" s="21"/>
    </row>
    <row r="9" spans="1:4" ht="23" customHeight="1" x14ac:dyDescent="0.35">
      <c r="A9" s="7" t="s">
        <v>378</v>
      </c>
      <c r="B9" s="8" t="s">
        <v>379</v>
      </c>
      <c r="C9" s="21"/>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8"/>
  <sheetViews>
    <sheetView tabSelected="1" topLeftCell="B1" workbookViewId="0">
      <selection activeCell="D8" sqref="D8"/>
    </sheetView>
  </sheetViews>
  <sheetFormatPr defaultRowHeight="14.5" x14ac:dyDescent="0.35"/>
  <cols>
    <col min="1" max="1" width="4" customWidth="1"/>
    <col min="2" max="2" width="60" customWidth="1"/>
    <col min="3" max="3" width="18" customWidth="1"/>
    <col min="4" max="4" width="40" customWidth="1"/>
    <col min="5" max="7" width="26" customWidth="1"/>
  </cols>
  <sheetData>
    <row r="1" spans="1:7" x14ac:dyDescent="0.35">
      <c r="A1" s="19" t="s">
        <v>380</v>
      </c>
      <c r="B1" s="19" t="s">
        <v>381</v>
      </c>
      <c r="C1" s="19" t="s">
        <v>382</v>
      </c>
      <c r="D1" s="19" t="s">
        <v>383</v>
      </c>
      <c r="E1" s="19" t="s">
        <v>295</v>
      </c>
      <c r="F1" s="19" t="s">
        <v>384</v>
      </c>
      <c r="G1" s="19" t="s">
        <v>385</v>
      </c>
    </row>
    <row r="2" spans="1:7" ht="23" customHeight="1" x14ac:dyDescent="0.35">
      <c r="A2" s="8">
        <v>1</v>
      </c>
      <c r="B2" s="8" t="s">
        <v>386</v>
      </c>
      <c r="C2" s="8" t="s">
        <v>387</v>
      </c>
      <c r="D2" s="8" t="s">
        <v>388</v>
      </c>
      <c r="E2" s="9" t="s">
        <v>389</v>
      </c>
      <c r="F2" s="9" t="s">
        <v>461</v>
      </c>
      <c r="G2" s="9"/>
    </row>
    <row r="3" spans="1:7" ht="23" customHeight="1" x14ac:dyDescent="0.35">
      <c r="A3" s="8">
        <v>2</v>
      </c>
      <c r="B3" s="8" t="s">
        <v>390</v>
      </c>
      <c r="C3" s="8" t="s">
        <v>391</v>
      </c>
      <c r="D3" s="8" t="s">
        <v>392</v>
      </c>
      <c r="E3" s="9" t="s">
        <v>393</v>
      </c>
      <c r="F3" s="9" t="s">
        <v>462</v>
      </c>
      <c r="G3" s="9" t="s">
        <v>463</v>
      </c>
    </row>
    <row r="4" spans="1:7" ht="23" customHeight="1" x14ac:dyDescent="0.35">
      <c r="A4" s="8">
        <v>3</v>
      </c>
      <c r="B4" s="8" t="s">
        <v>394</v>
      </c>
      <c r="C4" s="8" t="s">
        <v>395</v>
      </c>
      <c r="D4" s="8" t="s">
        <v>396</v>
      </c>
      <c r="E4" s="9" t="s">
        <v>397</v>
      </c>
      <c r="F4" s="9"/>
      <c r="G4" s="9"/>
    </row>
    <row r="5" spans="1:7" ht="23" customHeight="1" x14ac:dyDescent="0.35">
      <c r="A5" s="8">
        <v>4</v>
      </c>
      <c r="B5" s="8" t="s">
        <v>398</v>
      </c>
      <c r="C5" s="8" t="s">
        <v>384</v>
      </c>
      <c r="D5" s="8" t="s">
        <v>399</v>
      </c>
      <c r="E5" s="9" t="s">
        <v>400</v>
      </c>
      <c r="F5" s="9" t="s">
        <v>464</v>
      </c>
      <c r="G5" s="9"/>
    </row>
    <row r="6" spans="1:7" ht="23" customHeight="1" x14ac:dyDescent="0.35">
      <c r="A6" s="8">
        <v>5</v>
      </c>
      <c r="B6" s="8" t="s">
        <v>401</v>
      </c>
      <c r="C6" s="8" t="s">
        <v>402</v>
      </c>
      <c r="D6" s="8" t="s">
        <v>403</v>
      </c>
      <c r="E6" s="9" t="s">
        <v>404</v>
      </c>
      <c r="F6" s="9" t="s">
        <v>465</v>
      </c>
      <c r="G6" s="9"/>
    </row>
    <row r="7" spans="1:7" ht="23" customHeight="1" x14ac:dyDescent="0.35">
      <c r="A7" s="8">
        <v>6</v>
      </c>
      <c r="B7" s="8" t="s">
        <v>405</v>
      </c>
      <c r="C7" s="8" t="s">
        <v>403</v>
      </c>
      <c r="D7" s="8" t="s">
        <v>406</v>
      </c>
      <c r="E7" s="9" t="s">
        <v>407</v>
      </c>
      <c r="F7" s="9" t="s">
        <v>466</v>
      </c>
      <c r="G7" s="9"/>
    </row>
    <row r="8" spans="1:7" ht="103.5" x14ac:dyDescent="0.35">
      <c r="A8" s="8">
        <v>7</v>
      </c>
      <c r="B8" s="8" t="s">
        <v>408</v>
      </c>
      <c r="C8" s="8" t="s">
        <v>409</v>
      </c>
      <c r="D8" s="8" t="s">
        <v>410</v>
      </c>
      <c r="E8" s="9" t="s">
        <v>411</v>
      </c>
      <c r="F8" s="9" t="s">
        <v>467</v>
      </c>
      <c r="G8" s="9"/>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vt:lpstr>
      <vt:lpstr>Matrix</vt:lpstr>
      <vt:lpstr>Example — one stack</vt:lpstr>
      <vt:lpstr>States</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Plant</cp:lastModifiedBy>
  <dcterms:created xsi:type="dcterms:W3CDTF">2026-10-11T22:59:42Z</dcterms:created>
  <dcterms:modified xsi:type="dcterms:W3CDTF">2026-10-12T15:33:30Z</dcterms:modified>
</cp:coreProperties>
</file>