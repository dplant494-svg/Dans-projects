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425" yWindow="-17580" windowWidth="21600" windowHeight="12525" tabRatio="600" firstSheet="0" activeTab="0" autoFilterDateGrouping="1"/>
  </bookViews>
  <sheets>
    <sheet xmlns:r="http://schemas.openxmlformats.org/officeDocument/2006/relationships" name="Read me" sheetId="1" state="visible" r:id="rId1"/>
    <sheet xmlns:r="http://schemas.openxmlformats.org/officeDocument/2006/relationships" name="Matrix" sheetId="2" state="visible" r:id="rId2"/>
    <sheet xmlns:r="http://schemas.openxmlformats.org/officeDocument/2006/relationships" name="Example — one stack" sheetId="3" state="visible" r:id="rId3"/>
    <sheet xmlns:r="http://schemas.openxmlformats.org/officeDocument/2006/relationships" name="States" sheetId="4" state="visible" r:id="rId4"/>
    <sheet xmlns:r="http://schemas.openxmlformats.org/officeDocument/2006/relationships" name="Questions" sheetId="5" state="visible" r:id="rId5"/>
  </sheets>
  <definedNames>
    <definedName name="_xlnm._FilterDatabase" localSheetId="1" hidden="1">'Matrix'!$A$1:$P$62</definedName>
  </definedNames>
  <calcPr calcId="19102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FF002C77"/>
      <sz val="14"/>
    </font>
    <font>
      <name val="Arial"/>
      <sz val="10"/>
    </font>
    <font>
      <name val="Arial"/>
      <b val="1"/>
      <color rgb="FF002C77"/>
      <sz val="11"/>
    </font>
    <font>
      <name val="Arial"/>
      <sz val="9"/>
    </font>
    <font>
      <name val="Arial"/>
      <b val="1"/>
      <color rgb="FFFFFFFF"/>
      <sz val="10"/>
    </font>
    <font>
      <name val="Arial"/>
      <b val="1"/>
      <color rgb="FF002C77"/>
      <sz val="10"/>
    </font>
    <font>
      <name val="Arial"/>
      <b val="1"/>
      <sz val="9"/>
    </font>
    <font>
      <name val="Arial"/>
      <b val="1"/>
      <color rgb="FF002C77"/>
      <sz val="12"/>
    </font>
    <font>
      <name val="Arial"/>
      <i val="1"/>
      <sz val="9"/>
    </font>
    <font>
      <name val="Arial"/>
      <i val="1"/>
      <sz val="8"/>
    </font>
  </fonts>
  <fills count="5">
    <fill>
      <patternFill/>
    </fill>
    <fill>
      <patternFill patternType="gray125"/>
    </fill>
    <fill>
      <patternFill patternType="solid">
        <fgColor rgb="FFFFF7D6"/>
      </patternFill>
    </fill>
    <fill>
      <patternFill patternType="solid">
        <fgColor rgb="FF002C77"/>
      </patternFill>
    </fill>
    <fill>
      <patternFill patternType="solid">
        <fgColor rgb="FFDCE6F5"/>
      </patternFill>
    </fill>
  </fills>
  <borders count="3">
    <border>
      <left/>
      <right/>
      <top/>
      <bottom/>
      <diagonal/>
    </border>
    <border>
      <left style="thin">
        <color rgb="FFC9D4E8"/>
      </left>
      <right style="thin">
        <color rgb="FFC9D4E8"/>
      </right>
      <top style="thin">
        <color rgb="FFC9D4E8"/>
      </top>
      <bottom style="thin">
        <color rgb="FFC9D4E8"/>
      </bottom>
      <diagonal/>
    </border>
    <border>
      <left/>
      <right/>
      <top/>
      <bottom/>
      <diagonal/>
    </border>
  </borders>
  <cellStyleXfs count="1">
    <xf numFmtId="0" fontId="0" fillId="0" borderId="2"/>
  </cellStyleXfs>
  <cellXfs count="2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5" fillId="3" borderId="1" applyAlignment="1" pivotButton="0" quotePrefix="0" xfId="0">
      <alignment vertical="center" wrapText="1"/>
    </xf>
    <xf numFmtId="0" fontId="0" fillId="4" borderId="0" pivotButton="0" quotePrefix="0" xfId="0"/>
    <xf numFmtId="0" fontId="7" fillId="0" borderId="1" applyAlignment="1" pivotButton="0" quotePrefix="0" xfId="0">
      <alignment vertical="top" wrapText="1"/>
    </xf>
    <xf numFmtId="0" fontId="4" fillId="0" borderId="1" applyAlignment="1" pivotButton="0" quotePrefix="0" xfId="0">
      <alignment vertical="top" wrapText="1"/>
    </xf>
    <xf numFmtId="0" fontId="4" fillId="2" borderId="1" applyAlignment="1" pivotButton="0" quotePrefix="0" xfId="0">
      <alignment vertical="top" wrapText="1"/>
    </xf>
    <xf numFmtId="0" fontId="8" fillId="0" borderId="0" pivotButton="0" quotePrefix="0" xfId="0"/>
    <xf numFmtId="0" fontId="5" fillId="3" borderId="1" pivotButton="0" quotePrefix="0" xfId="0"/>
    <xf numFmtId="0" fontId="6" fillId="0" borderId="0" pivotButton="0" quotePrefix="0" xfId="0"/>
    <xf numFmtId="0" fontId="4" fillId="0" borderId="1" applyAlignment="1" pivotButton="0" quotePrefix="0" xfId="0">
      <alignment vertical="top"/>
    </xf>
    <xf numFmtId="0" fontId="4" fillId="2" borderId="1" applyAlignment="1" pivotButton="0" quotePrefix="0" xfId="0">
      <alignment vertical="top"/>
    </xf>
    <xf numFmtId="0" fontId="4" fillId="0" borderId="0" pivotButton="0" quotePrefix="0" xfId="0"/>
    <xf numFmtId="0" fontId="7" fillId="0" borderId="0" pivotButton="0" quotePrefix="0" xfId="0"/>
    <xf numFmtId="9" fontId="7" fillId="0" borderId="0" pivotButton="0" quotePrefix="0" xfId="0"/>
    <xf numFmtId="0" fontId="10" fillId="0" borderId="0" pivotButton="0" quotePrefix="0" xfId="0"/>
    <xf numFmtId="0" fontId="5" fillId="3" borderId="1" applyAlignment="1" pivotButton="0" quotePrefix="0" xfId="0">
      <alignment vertical="top" wrapText="1"/>
    </xf>
    <xf numFmtId="0" fontId="7" fillId="0" borderId="2" applyAlignment="1" pivotButton="0" quotePrefix="0" xfId="0">
      <alignment vertical="top" wrapText="1"/>
    </xf>
    <xf numFmtId="0" fontId="4" fillId="0" borderId="2" applyAlignment="1" pivotButton="0" quotePrefix="0" xfId="0">
      <alignment vertical="top" wrapText="1"/>
    </xf>
    <xf numFmtId="0" fontId="6" fillId="4" borderId="0" pivotButton="0" quotePrefix="0" xfId="0"/>
    <xf numFmtId="0" fontId="0" fillId="0" borderId="0" pivotButton="0" quotePrefix="0" xfId="0"/>
    <xf numFmtId="0" fontId="9" fillId="0" borderId="0" applyAlignment="1" pivotButton="0" quotePrefix="0" xfId="0">
      <alignment vertical="top" wrapText="1"/>
    </xf>
    <xf numFmtId="0" fontId="6" fillId="4" borderId="2" pivotButton="0" quotePrefix="0" xfId="0"/>
    <xf numFmtId="0" fontId="9" fillId="0"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tools session</author>
  </authors>
  <commentList>
    <comment ref="L3" authorId="0" shapeId="0">
      <text>
        <t>Example entry showing the expected format. Replace it with your own.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17"/>
  <sheetViews>
    <sheetView tabSelected="1" workbookViewId="0">
      <selection activeCell="A1" sqref="A1"/>
    </sheetView>
  </sheetViews>
  <sheetFormatPr baseColWidth="8" defaultRowHeight="14.5"/>
  <cols>
    <col width="130" customWidth="1" style="23" min="1" max="1"/>
  </cols>
  <sheetData>
    <row r="1" ht="18" customHeight="1" s="23">
      <c r="A1" s="1" t="inlineStr">
        <is>
          <t>PRE-DEPLOYMENT MATRIX — PROPOSAL FOR REVIEW</t>
        </is>
      </c>
    </row>
    <row r="2">
      <c r="A2" s="2" t="inlineStr">
        <is>
          <t>For: Dan Plant and Lee Arnold (DL-1 planning tool). Reviewed first by the dashboard session. Prepared by the reporting-tools session, 12 October 2026.</t>
        </is>
      </c>
    </row>
    <row r="3">
      <c r="A3" s="3" t="inlineStr">
        <is>
          <t>What this is</t>
        </is>
      </c>
    </row>
    <row r="4" ht="25" customHeight="1" s="23">
      <c r="A4" s="2" t="inlineStr">
        <is>
          <t>The matrix is the working view of a BOP's pre-deployment status, filled in progressively from the day the BOP lands. It populates the pre-deployment checklist (FRM-00-0168 Rev 8), which all parties agree and sign off before the BOP is run.</t>
        </is>
      </c>
    </row>
    <row r="5" ht="25" customHeight="1" s="23">
      <c r="A5" s="2" t="inlineStr">
        <is>
          <t>Every line below comes from what SSORT's pre-deployment checklist holds today (read off the live tool, SSORT REV 161), plus the nine pre-deployment surface tests. Nothing here is new content: it is today's checklist laid out as matrix rows, so it can be agreed before anything is built.</t>
        </is>
      </c>
    </row>
    <row r="6">
      <c r="A6" s="3" t="inlineStr">
        <is>
          <t>Decisions already made (Dan, 12 Oct)</t>
        </is>
      </c>
    </row>
    <row r="7" ht="25" customHeight="1" s="23">
      <c r="A7" s="2" t="inlineStr">
        <is>
          <t>1. The surface tests are done in SSORT once and linked to the plan as evidence. The pre-deployment checklist's primary is DL-1; SSORT keeps a copy for rigs on other templates or not yet on DL-1.</t>
        </is>
      </c>
    </row>
    <row r="8" ht="25" customHeight="1" s="23">
      <c r="A8" s="2" t="inlineStr">
        <is>
          <t>2. Sign-off for now is each person's name typed on the checklist. Accountability comes from the pre-deployment call held per directive before the BOP is run, where the checklist is reviewed — with the difference that every relevant party has now seen the checklist beforehand.</t>
        </is>
      </c>
    </row>
    <row r="9">
      <c r="A9" s="2" t="inlineStr">
        <is>
          <t>3. Not compulsory yet: templates differ by rig, and the full requirement goes to department review.</t>
        </is>
      </c>
    </row>
    <row r="10">
      <c r="A10" s="3" t="inlineStr">
        <is>
          <t>The sheets</t>
        </is>
      </c>
    </row>
    <row r="11">
      <c r="A11" s="2" t="inlineStr">
        <is>
          <t>Matrix — one row per kind of checklist line, with what makes it complete and where the evidence comes from. THE SHEET TO REVIEW.</t>
        </is>
      </c>
    </row>
    <row r="12">
      <c r="A12" s="2" t="inlineStr">
        <is>
          <t>Example — one stack — the matrix expanded for one 7-cavity stack, with example states and a live progress summary, to show "status as we go".</t>
        </is>
      </c>
    </row>
    <row r="13">
      <c r="A13" s="2" t="inlineStr">
        <is>
          <t>States — the five states a line can be in, and the sign-off rule.</t>
        </is>
      </c>
    </row>
    <row r="14">
      <c r="A14" s="2" t="inlineStr">
        <is>
          <t>Questions — the points still open, for Dan, Lee and the dashboard to answer.</t>
        </is>
      </c>
    </row>
    <row r="15">
      <c r="A15" s="3" t="inlineStr">
        <is>
          <t>How to review (legend)</t>
        </is>
      </c>
    </row>
    <row r="16" ht="23" customHeight="1" s="23">
      <c r="A16" s="4" t="inlineStr">
        <is>
          <t>Pale yellow cells are for you: "Agree?" (pick Yes / No / Change) and the comment column with your name. Everything else is the proposal — please do not overwrite it; put changes in your comment column.</t>
        </is>
      </c>
    </row>
    <row r="17">
      <c r="A17" s="2" t="inlineStr">
        <is>
          <t>Order: the dashboard comments first (its column is ready), then Dan sends to Lee.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4"/>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4.5"/>
  <cols>
    <col width="7" customWidth="1" style="23" min="1" max="1"/>
    <col width="16" customWidth="1" style="23" min="2" max="2"/>
    <col width="46" customWidth="1" style="23" min="3" max="3"/>
    <col width="14" customWidth="1" style="23" min="4" max="4"/>
    <col width="34" customWidth="1" style="23" min="5" max="5"/>
    <col width="30" customWidth="1" style="23" min="6" max="6"/>
    <col width="14" customWidth="1" style="23" min="7" max="8"/>
    <col width="16" customWidth="1" style="23" min="9" max="9"/>
    <col width="26" customWidth="1" style="23" min="10" max="10"/>
    <col width="11" customWidth="1" style="23" min="11" max="11"/>
    <col width="30" customWidth="1" style="23" min="12" max="12"/>
    <col width="11" customWidth="1" style="23" min="13" max="13"/>
    <col width="30" customWidth="1" style="23" min="14" max="14"/>
    <col width="11" customWidth="1" style="23" min="15" max="15"/>
    <col width="30" customWidth="1" style="23" min="16" max="16"/>
  </cols>
  <sheetData>
    <row r="1" ht="39" customHeight="1" s="23">
      <c r="A1" s="5" t="inlineStr">
        <is>
          <t>Line</t>
        </is>
      </c>
      <c r="B1" s="5" t="inlineStr">
        <is>
          <t>Section</t>
        </is>
      </c>
      <c r="C1" s="5" t="inlineStr">
        <is>
          <t>Checklist line</t>
        </is>
      </c>
      <c r="D1" s="5" t="inlineStr">
        <is>
          <t>One row per</t>
        </is>
      </c>
      <c r="E1" s="5" t="inlineStr">
        <is>
          <t>Evidence / what is recorded</t>
        </is>
      </c>
      <c r="F1" s="5" t="inlineStr">
        <is>
          <t>Complete when</t>
        </is>
      </c>
      <c r="G1" s="5" t="inlineStr">
        <is>
          <t>N/A allowed?</t>
        </is>
      </c>
      <c r="H1" s="5" t="inlineStr">
        <is>
          <t>Updated by</t>
        </is>
      </c>
      <c r="I1" s="5" t="inlineStr">
        <is>
          <t>From</t>
        </is>
      </c>
      <c r="J1" s="5" t="inlineStr">
        <is>
          <t>In SSORT today (keys)</t>
        </is>
      </c>
      <c r="K1" s="5" t="inlineStr">
        <is>
          <t>Agree? (Dashboard)</t>
        </is>
      </c>
      <c r="L1" s="5" t="inlineStr">
        <is>
          <t>Dashboard comment</t>
        </is>
      </c>
      <c r="M1" s="5" t="inlineStr">
        <is>
          <t>Agree? (Dan)</t>
        </is>
      </c>
      <c r="N1" s="5" t="inlineStr">
        <is>
          <t>Dan comment</t>
        </is>
      </c>
      <c r="O1" s="5" t="inlineStr">
        <is>
          <t>Agree? (Lee)</t>
        </is>
      </c>
      <c r="P1" s="5" t="inlineStr">
        <is>
          <t>Lee comment</t>
        </is>
      </c>
    </row>
    <row r="2">
      <c r="A2" s="25" t="inlineStr">
        <is>
          <t>A · Header</t>
        </is>
      </c>
      <c r="K2" s="6" t="n"/>
      <c r="L2" s="6" t="n"/>
      <c r="M2" s="6" t="n"/>
      <c r="N2" s="6" t="n"/>
      <c r="O2" s="6" t="n"/>
      <c r="P2" s="6" t="n"/>
    </row>
    <row r="3" ht="23" customHeight="1" s="23">
      <c r="A3" s="7" t="inlineStr">
        <is>
          <t>A-01</t>
        </is>
      </c>
      <c r="B3" s="8" t="inlineStr">
        <is>
          <t>Header</t>
        </is>
      </c>
      <c r="C3" s="8" t="inlineStr">
        <is>
          <t>Rig, well, BOP stack, date</t>
        </is>
      </c>
      <c r="D3" s="8" t="inlineStr">
        <is>
          <t>checklist</t>
        </is>
      </c>
      <c r="E3" s="8" t="inlineStr">
        <is>
          <t>From the plan (rig, BOP) and the well</t>
        </is>
      </c>
      <c r="F3" s="8" t="inlineStr">
        <is>
          <t>All four filled</t>
        </is>
      </c>
      <c r="G3" s="8" t="inlineStr">
        <is>
          <t>No</t>
        </is>
      </c>
      <c r="H3" s="8" t="inlineStr">
        <is>
          <t>Plan (auto)</t>
        </is>
      </c>
      <c r="I3" s="8" t="inlineStr">
        <is>
          <t>Plan created</t>
        </is>
      </c>
      <c r="J3" s="8" t="inlineStr">
        <is>
          <t>pdc_rig, pdc_well, pdc_stack, pdc_date</t>
        </is>
      </c>
      <c r="K3" s="9" t="inlineStr">
        <is>
          <t>Yes</t>
        </is>
      </c>
      <c r="L3" s="9" t="inlineStr">
        <is>
          <t>Agreed. SACRED fills rig, BOP and dates from the plan post (planId, bopNo, window); the well from the daily log if posted, else typed.</t>
        </is>
      </c>
      <c r="M3" s="9" t="n"/>
      <c r="N3" s="9" t="n"/>
      <c r="O3" s="9" t="n"/>
      <c r="P3" s="9" t="n"/>
    </row>
    <row r="4">
      <c r="A4" s="25" t="inlineStr">
        <is>
          <t>B · The checklist items (FRM-00-0168 Rev 8)</t>
        </is>
      </c>
      <c r="K4" s="6" t="n"/>
      <c r="L4" s="6" t="n"/>
      <c r="M4" s="6" t="n"/>
      <c r="N4" s="6" t="n"/>
      <c r="O4" s="6" t="n"/>
      <c r="P4" s="6" t="n"/>
    </row>
    <row r="5" ht="23" customHeight="1" s="23">
      <c r="A5" s="7" t="inlineStr">
        <is>
          <t>B-01</t>
        </is>
      </c>
      <c r="B5" s="8" t="inlineStr">
        <is>
          <t>Item</t>
        </is>
      </c>
      <c r="C5" s="8" t="inlineStr">
        <is>
          <t>Has the BTW maintenance been completed within the projected timeline?</t>
        </is>
      </c>
      <c r="D5" s="8" t="inlineStr">
        <is>
          <t>checklist</t>
        </is>
      </c>
      <c r="E5" s="8" t="inlineStr">
        <is>
          <t>Yes / No + remarks: If no, please state why.</t>
        </is>
      </c>
      <c r="F5" s="8" t="inlineStr">
        <is>
          <t>Answered (remarks given where the prompt asks)</t>
        </is>
      </c>
      <c r="G5" s="8" t="inlineStr">
        <is>
          <t>Yes, with reason</t>
        </is>
      </c>
      <c r="H5" s="8" t="inlineStr">
        <is>
          <t>SS Supervisor / TSL</t>
        </is>
      </c>
      <c r="I5" s="8" t="inlineStr">
        <is>
          <t>BOP lands</t>
        </is>
      </c>
      <c r="J5" s="8" t="inlineStr">
        <is>
          <t>pdc_1_resp, pdc_1_rem</t>
        </is>
      </c>
      <c r="K5" s="9" t="inlineStr">
        <is>
          <t>Yes</t>
        </is>
      </c>
      <c r="L5" s="9" t="inlineStr">
        <is>
          <t>SACRED can pre-answer from the plan: timeline met = plan-progress finish vs baseline (planVariance). Pre-population is a suggestion the SS Supervisor confirms, never an auto-answer.</t>
        </is>
      </c>
      <c r="M5" s="9" t="n"/>
      <c r="N5" s="9" t="n"/>
      <c r="O5" s="9" t="n"/>
      <c r="P5" s="9" t="n"/>
    </row>
    <row r="6" ht="23" customHeight="1" s="23">
      <c r="A6" s="7" t="inlineStr">
        <is>
          <t>B-02</t>
        </is>
      </c>
      <c r="B6" s="8" t="inlineStr">
        <is>
          <t>Item</t>
        </is>
      </c>
      <c r="C6" s="8" t="inlineStr">
        <is>
          <t>Was any break-in work required during the maintenance period?</t>
        </is>
      </c>
      <c r="D6" s="8" t="inlineStr">
        <is>
          <t>checklist</t>
        </is>
      </c>
      <c r="E6" s="8" t="inlineStr">
        <is>
          <t>Yes / No + remarks: If yes, please specify what and outline impact on timeline.</t>
        </is>
      </c>
      <c r="F6" s="8" t="inlineStr">
        <is>
          <t>Answered (remarks given where the prompt asks)</t>
        </is>
      </c>
      <c r="G6" s="8" t="inlineStr">
        <is>
          <t>Yes, with reason</t>
        </is>
      </c>
      <c r="H6" s="8" t="inlineStr">
        <is>
          <t>SS Supervisor / TSL</t>
        </is>
      </c>
      <c r="I6" s="8" t="inlineStr">
        <is>
          <t>BOP lands</t>
        </is>
      </c>
      <c r="J6" s="8" t="inlineStr">
        <is>
          <t>pdc_2_resp, pdc_2_rem</t>
        </is>
      </c>
      <c r="K6" s="9" t="inlineStr">
        <is>
          <t>Yes</t>
        </is>
      </c>
      <c r="L6" s="9" t="inlineStr">
        <is>
          <t>SACRED already holds every break-in from the planning report (breakins[]) and, from REV 11, scope changes by scopeVersion. Pre-answer Yes/No with the list; crew confirms.</t>
        </is>
      </c>
      <c r="M6" s="9" t="n"/>
      <c r="N6" s="9" t="n"/>
      <c r="O6" s="9" t="n"/>
      <c r="P6" s="9" t="n"/>
    </row>
    <row r="7" ht="23" customHeight="1" s="23">
      <c r="A7" s="7" t="inlineStr">
        <is>
          <t>B-03</t>
        </is>
      </c>
      <c r="B7" s="8" t="inlineStr">
        <is>
          <t>Item</t>
        </is>
      </c>
      <c r="C7" s="8" t="inlineStr">
        <is>
          <t>Have all CM's and known deficiencies been repaired with corresponding work orders closed out?</t>
        </is>
      </c>
      <c r="D7" s="8" t="inlineStr">
        <is>
          <t>checklist</t>
        </is>
      </c>
      <c r="E7" s="8" t="inlineStr">
        <is>
          <t>Yes / No + remarks: If no, please state details.</t>
        </is>
      </c>
      <c r="F7" s="8" t="inlineStr">
        <is>
          <t>Answered (remarks given where the prompt asks)</t>
        </is>
      </c>
      <c r="G7" s="8" t="inlineStr">
        <is>
          <t>Yes, with reason</t>
        </is>
      </c>
      <c r="H7" s="8" t="inlineStr">
        <is>
          <t>SS Supervisor / TSL</t>
        </is>
      </c>
      <c r="I7" s="8" t="inlineStr">
        <is>
          <t>BOP lands</t>
        </is>
      </c>
      <c r="J7" s="8" t="inlineStr">
        <is>
          <t>pdc_3_resp, pdc_3_rem</t>
        </is>
      </c>
      <c r="K7" s="9" t="inlineStr">
        <is>
          <t>Change</t>
        </is>
      </c>
      <c r="L7" s="9" t="inlineStr">
        <is>
          <t>Split the evidence: "all CMs closed" can be shown from plan_progress (every maintenance task 100 %) and open deferrals (plan_deferrals); the answer stays the crew's. Suggest the line shows "n WOs open, m deferred" beside the Yes/No.</t>
        </is>
      </c>
      <c r="M7" s="9" t="n"/>
      <c r="N7" s="9" t="n"/>
      <c r="O7" s="9" t="n"/>
      <c r="P7" s="9" t="n"/>
    </row>
    <row r="8" ht="23" customHeight="1" s="23">
      <c r="A8" s="7" t="inlineStr">
        <is>
          <t>B-04</t>
        </is>
      </c>
      <c r="B8" s="8" t="inlineStr">
        <is>
          <t>Item</t>
        </is>
      </c>
      <c r="C8" s="8" t="inlineStr">
        <is>
          <t>Have there been any modifications or upgrades made during the maintenance period?</t>
        </is>
      </c>
      <c r="D8" s="8" t="inlineStr">
        <is>
          <t>checklist</t>
        </is>
      </c>
      <c r="E8" s="8" t="inlineStr">
        <is>
          <t>Yes / No + remarks: If yes, please state Synergi NC or MOC number.</t>
        </is>
      </c>
      <c r="F8" s="8" t="inlineStr">
        <is>
          <t>Answered (remarks given where the prompt asks)</t>
        </is>
      </c>
      <c r="G8" s="8" t="inlineStr">
        <is>
          <t>Yes, with reason</t>
        </is>
      </c>
      <c r="H8" s="8" t="inlineStr">
        <is>
          <t>SS Supervisor / TSL</t>
        </is>
      </c>
      <c r="I8" s="8" t="inlineStr">
        <is>
          <t>BOP lands</t>
        </is>
      </c>
      <c r="J8" s="8" t="inlineStr">
        <is>
          <t>pdc_4_resp, pdc_4_rem</t>
        </is>
      </c>
      <c r="K8" s="9" t="inlineStr">
        <is>
          <t>Yes</t>
        </is>
      </c>
      <c r="L8" s="9" t="inlineStr">
        <is>
          <t>SACRED can list MOC references raised against the rig in the window if Lee's Synergi feed carries them; otherwise typed.</t>
        </is>
      </c>
      <c r="M8" s="9" t="n"/>
      <c r="N8" s="9" t="n"/>
      <c r="O8" s="9" t="n"/>
      <c r="P8" s="9" t="n"/>
    </row>
    <row r="9" ht="23" customHeight="1" s="23">
      <c r="A9" s="7" t="inlineStr">
        <is>
          <t>B-05</t>
        </is>
      </c>
      <c r="B9" s="8" t="inlineStr">
        <is>
          <t>Item</t>
        </is>
      </c>
      <c r="C9" s="8" t="inlineStr">
        <is>
          <t>Is there an approved riser analysis and WSOG available?</t>
        </is>
      </c>
      <c r="D9" s="8" t="inlineStr">
        <is>
          <t>checklist</t>
        </is>
      </c>
      <c r="E9" s="8" t="inlineStr">
        <is>
          <t>Yes / No</t>
        </is>
      </c>
      <c r="F9" s="8" t="inlineStr">
        <is>
          <t>Answered</t>
        </is>
      </c>
      <c r="G9" s="8" t="inlineStr">
        <is>
          <t>Yes, with reason</t>
        </is>
      </c>
      <c r="H9" s="8" t="inlineStr">
        <is>
          <t>SS Supervisor / TSL</t>
        </is>
      </c>
      <c r="I9" s="8" t="inlineStr">
        <is>
          <t>BOP lands</t>
        </is>
      </c>
      <c r="J9" s="8" t="inlineStr">
        <is>
          <t>pdc_5_resp, pdc_5_rem</t>
        </is>
      </c>
      <c r="K9" s="9" t="inlineStr">
        <is>
          <t>Yes</t>
        </is>
      </c>
      <c r="L9" s="9" t="inlineStr">
        <is>
          <t>Typed; no SACRED source.</t>
        </is>
      </c>
      <c r="M9" s="9" t="n"/>
      <c r="N9" s="9" t="n"/>
      <c r="O9" s="9" t="n"/>
      <c r="P9" s="9" t="n"/>
    </row>
    <row r="10" ht="34.5" customHeight="1" s="23">
      <c r="A10" s="7" t="inlineStr">
        <is>
          <t>B-06</t>
        </is>
      </c>
      <c r="B10" s="8" t="inlineStr">
        <is>
          <t>Item</t>
        </is>
      </c>
      <c r="C10" s="8" t="inlineStr">
        <is>
          <t>Have all subsea accumulators been pre-charged to the pressures as per TSC recommendation? Can rig team confirm that all charging valves are in situ?</t>
        </is>
      </c>
      <c r="D10" s="8" t="inlineStr">
        <is>
          <t>checklist</t>
        </is>
      </c>
      <c r="E10" s="8" t="inlineStr">
        <is>
          <t>Yes / No</t>
        </is>
      </c>
      <c r="F10" s="8" t="inlineStr">
        <is>
          <t>Answered</t>
        </is>
      </c>
      <c r="G10" s="8" t="inlineStr">
        <is>
          <t>Yes, with reason</t>
        </is>
      </c>
      <c r="H10" s="8" t="inlineStr">
        <is>
          <t>SS Supervisor / TSL</t>
        </is>
      </c>
      <c r="I10" s="8" t="inlineStr">
        <is>
          <t>BOP lands</t>
        </is>
      </c>
      <c r="J10" s="8" t="inlineStr">
        <is>
          <t>pdc_6_resp, pdc_6_rem</t>
        </is>
      </c>
      <c r="K10" s="9" t="inlineStr">
        <is>
          <t>Change</t>
        </is>
      </c>
      <c r="L10" s="9" t="inlineStr">
        <is>
          <t>SACRED holds every issued precharge sheet per rig and BOP (precharge inbox, bop + saved). Pre-answer Yes with the sheet date and link; crew confirms the charging valves. Suggest evidence = the issued sheet.</t>
        </is>
      </c>
      <c r="M10" s="9" t="n"/>
      <c r="N10" s="9" t="n"/>
      <c r="O10" s="9" t="n"/>
      <c r="P10" s="9" t="n"/>
    </row>
    <row r="11" ht="34.5" customHeight="1" s="23">
      <c r="A11" s="7" t="inlineStr">
        <is>
          <t>B-07</t>
        </is>
      </c>
      <c r="B11" s="8" t="inlineStr">
        <is>
          <t>Item</t>
        </is>
      </c>
      <c r="C11" s="8" t="inlineStr">
        <is>
          <t>Is a BOP hop planned during the deployment?</t>
        </is>
      </c>
      <c r="D11" s="8" t="inlineStr">
        <is>
          <t>checklist</t>
        </is>
      </c>
      <c r="E11" s="8" t="inlineStr">
        <is>
          <t>Yes / No + remarks: If yes, does the rig have an approved riser analysis and pre-charge plan for this/these depths.</t>
        </is>
      </c>
      <c r="F11" s="8" t="inlineStr">
        <is>
          <t>Answered (remarks given where the prompt asks)</t>
        </is>
      </c>
      <c r="G11" s="8" t="inlineStr">
        <is>
          <t>Yes, with reason</t>
        </is>
      </c>
      <c r="H11" s="8" t="inlineStr">
        <is>
          <t>SS Supervisor / TSL</t>
        </is>
      </c>
      <c r="I11" s="8" t="inlineStr">
        <is>
          <t>BOP lands</t>
        </is>
      </c>
      <c r="J11" s="8" t="inlineStr">
        <is>
          <t>pdc_7_resp, pdc_7_rem</t>
        </is>
      </c>
      <c r="K11" s="9" t="inlineStr">
        <is>
          <t>Yes</t>
        </is>
      </c>
      <c r="L11" s="9" t="inlineStr">
        <is>
          <t>Typed.</t>
        </is>
      </c>
      <c r="M11" s="9" t="n"/>
      <c r="N11" s="9" t="n"/>
      <c r="O11" s="9" t="n"/>
      <c r="P11" s="9" t="n"/>
    </row>
    <row r="12" ht="23" customHeight="1" s="23">
      <c r="A12" s="7" t="inlineStr">
        <is>
          <t>B-08</t>
        </is>
      </c>
      <c r="B12" s="8" t="inlineStr">
        <is>
          <t>Item</t>
        </is>
      </c>
      <c r="C12" s="8" t="inlineStr">
        <is>
          <t>What is the inclination and the diameter of the High Press Wellhead Housing (HPWH)?</t>
        </is>
      </c>
      <c r="D12" s="8" t="inlineStr">
        <is>
          <t>checklist</t>
        </is>
      </c>
      <c r="E12" s="8" t="inlineStr">
        <is>
          <t>Free text answer</t>
        </is>
      </c>
      <c r="F12" s="8" t="inlineStr">
        <is>
          <t>Answered</t>
        </is>
      </c>
      <c r="G12" s="8" t="inlineStr">
        <is>
          <t>Yes, with reason</t>
        </is>
      </c>
      <c r="H12" s="8" t="inlineStr">
        <is>
          <t>SS Supervisor / TSL</t>
        </is>
      </c>
      <c r="I12" s="8" t="inlineStr">
        <is>
          <t>BOP lands</t>
        </is>
      </c>
      <c r="J12" s="8" t="inlineStr">
        <is>
          <t>pdc_8_resp, pdc_8_rem</t>
        </is>
      </c>
      <c r="K12" s="9" t="inlineStr">
        <is>
          <t>Yes</t>
        </is>
      </c>
      <c r="L12" s="9" t="inlineStr">
        <is>
          <t>Typed. Could later come from the well data if DL-1 carries it.</t>
        </is>
      </c>
      <c r="M12" s="9" t="n"/>
      <c r="N12" s="9" t="n"/>
      <c r="O12" s="9" t="n"/>
      <c r="P12" s="9" t="n"/>
    </row>
    <row r="13" ht="34.5" customHeight="1" s="23">
      <c r="A13" s="7" t="inlineStr">
        <is>
          <t>B-09</t>
        </is>
      </c>
      <c r="B13" s="8" t="inlineStr">
        <is>
          <t>Item</t>
        </is>
      </c>
      <c r="C13" s="8" t="inlineStr">
        <is>
          <t>Has the BOP control cycle count been re-set? If a dual stack and stacks have been swapped, have we accounted for simulator functions?</t>
        </is>
      </c>
      <c r="D13" s="8" t="inlineStr">
        <is>
          <t>checklist</t>
        </is>
      </c>
      <c r="E13" s="8" t="inlineStr">
        <is>
          <t>Yes / No + remarks: If no, please state details.</t>
        </is>
      </c>
      <c r="F13" s="8" t="inlineStr">
        <is>
          <t>Answered (remarks given where the prompt asks)</t>
        </is>
      </c>
      <c r="G13" s="8" t="inlineStr">
        <is>
          <t>Yes, with reason</t>
        </is>
      </c>
      <c r="H13" s="8" t="inlineStr">
        <is>
          <t>SS Supervisor / TSL</t>
        </is>
      </c>
      <c r="I13" s="8" t="inlineStr">
        <is>
          <t>BOP lands</t>
        </is>
      </c>
      <c r="J13" s="8" t="inlineStr">
        <is>
          <t>pdc_9_resp, pdc_9_rem</t>
        </is>
      </c>
      <c r="K13" s="9" t="inlineStr">
        <is>
          <t>Yes</t>
        </is>
      </c>
      <c r="L13" s="9" t="inlineStr">
        <is>
          <t>Typed.</t>
        </is>
      </c>
      <c r="M13" s="9" t="n"/>
      <c r="N13" s="9" t="n"/>
      <c r="O13" s="9" t="n"/>
      <c r="P13" s="9" t="n"/>
    </row>
    <row r="14" ht="46" customHeight="1" s="23">
      <c r="A14" s="7" t="inlineStr">
        <is>
          <t>B-10</t>
        </is>
      </c>
      <c r="B14" s="8" t="inlineStr">
        <is>
          <t>Item</t>
        </is>
      </c>
      <c r="C14" s="8" t="inlineStr">
        <is>
          <t>Have any of the main wellbore elastomers been changed out?</t>
        </is>
      </c>
      <c r="D14" s="8" t="inlineStr">
        <is>
          <t>checklist</t>
        </is>
      </c>
      <c r="E14" s="8" t="inlineStr">
        <is>
          <t>Yes / No + remarks: If yes, please state which components, how many closures they had, and elastomer information on the sheet below.</t>
        </is>
      </c>
      <c r="F14" s="8" t="inlineStr">
        <is>
          <t>Answered (remarks given where the prompt asks)</t>
        </is>
      </c>
      <c r="G14" s="8" t="inlineStr">
        <is>
          <t>Yes, with reason</t>
        </is>
      </c>
      <c r="H14" s="8" t="inlineStr">
        <is>
          <t>SS Supervisor / TSL</t>
        </is>
      </c>
      <c r="I14" s="8" t="inlineStr">
        <is>
          <t>BOP lands</t>
        </is>
      </c>
      <c r="J14" s="8" t="inlineStr">
        <is>
          <t>pdc_10_resp, pdc_10_rem</t>
        </is>
      </c>
      <c r="K14" s="9" t="inlineStr">
        <is>
          <t>Yes</t>
        </is>
      </c>
      <c r="L14" s="9" t="inlineStr">
        <is>
          <t>Pre-answer from the CBM inspection posts in the window (ram block / packer change-outs are CBM-graded items); crew confirms the elastomer table (C-03).</t>
        </is>
      </c>
      <c r="M14" s="9" t="n"/>
      <c r="N14" s="9" t="n"/>
      <c r="O14" s="9" t="n"/>
      <c r="P14" s="9" t="n"/>
    </row>
    <row r="15" ht="23" customHeight="1" s="23">
      <c r="A15" s="7" t="inlineStr">
        <is>
          <t>B-11</t>
        </is>
      </c>
      <c r="B15" s="8" t="inlineStr">
        <is>
          <t>Item</t>
        </is>
      </c>
      <c r="C15" s="8" t="inlineStr">
        <is>
          <t>Is the subsea team aware of testing requirements during the BOP deployment and post BOP land out?</t>
        </is>
      </c>
      <c r="D15" s="8" t="inlineStr">
        <is>
          <t>checklist</t>
        </is>
      </c>
      <c r="E15" s="8" t="inlineStr">
        <is>
          <t>Yes / No</t>
        </is>
      </c>
      <c r="F15" s="8" t="inlineStr">
        <is>
          <t>Answered</t>
        </is>
      </c>
      <c r="G15" s="8" t="inlineStr">
        <is>
          <t>Yes, with reason</t>
        </is>
      </c>
      <c r="H15" s="8" t="inlineStr">
        <is>
          <t>SS Supervisor / TSL</t>
        </is>
      </c>
      <c r="I15" s="8" t="inlineStr">
        <is>
          <t>BOP lands</t>
        </is>
      </c>
      <c r="J15" s="8" t="inlineStr">
        <is>
          <t>pdc_11_resp, pdc_11_rem</t>
        </is>
      </c>
      <c r="K15" s="9" t="inlineStr">
        <is>
          <t>Yes</t>
        </is>
      </c>
      <c r="L15" s="9" t="inlineStr">
        <is>
          <t>Typed.</t>
        </is>
      </c>
      <c r="M15" s="9" t="n"/>
      <c r="N15" s="9" t="n"/>
      <c r="O15" s="9" t="n"/>
      <c r="P15" s="9" t="n"/>
    </row>
    <row r="16" ht="23" customHeight="1" s="23">
      <c r="A16" s="7" t="inlineStr">
        <is>
          <t>B-12</t>
        </is>
      </c>
      <c r="B16" s="8" t="inlineStr">
        <is>
          <t>Item</t>
        </is>
      </c>
      <c r="C16" s="8" t="inlineStr">
        <is>
          <t>Is the BOP control system clear of all alarms and faults?</t>
        </is>
      </c>
      <c r="D16" s="8" t="inlineStr">
        <is>
          <t>checklist</t>
        </is>
      </c>
      <c r="E16" s="8" t="inlineStr">
        <is>
          <t>Yes / No + remarks: If no, please state details.</t>
        </is>
      </c>
      <c r="F16" s="8" t="inlineStr">
        <is>
          <t>Answered (remarks given where the prompt asks)</t>
        </is>
      </c>
      <c r="G16" s="8" t="inlineStr">
        <is>
          <t>Yes, with reason</t>
        </is>
      </c>
      <c r="H16" s="8" t="inlineStr">
        <is>
          <t>SS Supervisor / TSL</t>
        </is>
      </c>
      <c r="I16" s="8" t="inlineStr">
        <is>
          <t>BOP lands</t>
        </is>
      </c>
      <c r="J16" s="8" t="inlineStr">
        <is>
          <t>pdc_12_resp, pdc_12_rem</t>
        </is>
      </c>
      <c r="K16" s="9" t="inlineStr">
        <is>
          <t>Yes</t>
        </is>
      </c>
      <c r="L16" s="9" t="inlineStr">
        <is>
          <t>Evidence is E-04 (EWS pages). Suggest B-12 auto-reads Complete when E-04 is Complete and "clear of alarms".</t>
        </is>
      </c>
      <c r="M16" s="9" t="n"/>
      <c r="N16" s="9" t="n"/>
      <c r="O16" s="9" t="n"/>
      <c r="P16" s="9" t="n"/>
    </row>
    <row r="17" ht="34.5" customHeight="1" s="23">
      <c r="A17" s="7" t="inlineStr">
        <is>
          <t>B-13</t>
        </is>
      </c>
      <c r="B17" s="8" t="inlineStr">
        <is>
          <t>Item</t>
        </is>
      </c>
      <c r="C17" s="8" t="inlineStr">
        <is>
          <t>Are the Electrical and Marine departments aware of the requirements and procedure when re-calibrating the stack ERA's?</t>
        </is>
      </c>
      <c r="D17" s="8" t="inlineStr">
        <is>
          <t>checklist</t>
        </is>
      </c>
      <c r="E17" s="8" t="inlineStr">
        <is>
          <t>Yes / No + remarks: If no, please state details.</t>
        </is>
      </c>
      <c r="F17" s="8" t="inlineStr">
        <is>
          <t>Answered (remarks given where the prompt asks)</t>
        </is>
      </c>
      <c r="G17" s="8" t="inlineStr">
        <is>
          <t>Yes, with reason</t>
        </is>
      </c>
      <c r="H17" s="8" t="inlineStr">
        <is>
          <t>SS Supervisor / TSL</t>
        </is>
      </c>
      <c r="I17" s="8" t="inlineStr">
        <is>
          <t>BOP lands</t>
        </is>
      </c>
      <c r="J17" s="8" t="inlineStr">
        <is>
          <t>pdc_13_resp, pdc_13_rem</t>
        </is>
      </c>
      <c r="K17" s="9" t="inlineStr">
        <is>
          <t>Yes</t>
        </is>
      </c>
      <c r="L17" s="9" t="inlineStr">
        <is>
          <t>Typed.</t>
        </is>
      </c>
      <c r="M17" s="9" t="n"/>
      <c r="N17" s="9" t="n"/>
      <c r="O17" s="9" t="n"/>
      <c r="P17" s="9" t="n"/>
    </row>
    <row r="18" ht="46" customHeight="1" s="23">
      <c r="A18" s="7" t="inlineStr">
        <is>
          <t>B-14</t>
        </is>
      </c>
      <c r="B18" s="8" t="inlineStr">
        <is>
          <t>Item</t>
        </is>
      </c>
      <c r="C18" s="8" t="inlineStr">
        <is>
          <t>Are the rig team aware of the importance to monitor Mux cables at all times when machinery moves in the moon pool? How is this managed? Has the Mux Cable management video been watched by all to be involved in the task?</t>
        </is>
      </c>
      <c r="D18" s="8" t="inlineStr">
        <is>
          <t>checklist</t>
        </is>
      </c>
      <c r="E18" s="8" t="inlineStr">
        <is>
          <t>Yes / No + remarks: If no, please state details.</t>
        </is>
      </c>
      <c r="F18" s="8" t="inlineStr">
        <is>
          <t>Answered (remarks given where the prompt asks)</t>
        </is>
      </c>
      <c r="G18" s="8" t="inlineStr">
        <is>
          <t>Yes, with reason</t>
        </is>
      </c>
      <c r="H18" s="8" t="inlineStr">
        <is>
          <t>SS Supervisor / TSL</t>
        </is>
      </c>
      <c r="I18" s="8" t="inlineStr">
        <is>
          <t>BOP lands</t>
        </is>
      </c>
      <c r="J18" s="8" t="inlineStr">
        <is>
          <t>pdc_14_resp, pdc_14_rem</t>
        </is>
      </c>
      <c r="K18" s="9" t="inlineStr">
        <is>
          <t>Yes</t>
        </is>
      </c>
      <c r="L18" s="9" t="inlineStr">
        <is>
          <t>Typed.</t>
        </is>
      </c>
      <c r="M18" s="9" t="n"/>
      <c r="N18" s="9" t="n"/>
      <c r="O18" s="9" t="n"/>
      <c r="P18" s="9" t="n"/>
    </row>
    <row r="19" ht="34.5" customHeight="1" s="23">
      <c r="A19" s="7" t="inlineStr">
        <is>
          <t>B-15</t>
        </is>
      </c>
      <c r="B19" s="8" t="inlineStr">
        <is>
          <t>Item</t>
        </is>
      </c>
      <c r="C19" s="8" t="inlineStr">
        <is>
          <t>Are the Subsea team following requirements as per TB-WCE-73 (AAB C10078078) when reporting BOP/Pod Control Change outs?</t>
        </is>
      </c>
      <c r="D19" s="8" t="inlineStr">
        <is>
          <t>checklist</t>
        </is>
      </c>
      <c r="E19" s="8" t="inlineStr">
        <is>
          <t>Yes / No + remarks: If no, please state details.</t>
        </is>
      </c>
      <c r="F19" s="8" t="inlineStr">
        <is>
          <t>Answered (remarks given where the prompt asks)</t>
        </is>
      </c>
      <c r="G19" s="8" t="inlineStr">
        <is>
          <t>Yes, with reason</t>
        </is>
      </c>
      <c r="H19" s="8" t="inlineStr">
        <is>
          <t>SS Supervisor / TSL</t>
        </is>
      </c>
      <c r="I19" s="8" t="inlineStr">
        <is>
          <t>BOP lands</t>
        </is>
      </c>
      <c r="J19" s="8" t="inlineStr">
        <is>
          <t>pdc_15_resp, pdc_15_rem</t>
        </is>
      </c>
      <c r="K19" s="9" t="inlineStr">
        <is>
          <t>Yes</t>
        </is>
      </c>
      <c r="L19" s="9" t="inlineStr">
        <is>
          <t>Typed. AAB C10078078 acknowledgement state is on the AAB register; SACRED can show it beside the line.</t>
        </is>
      </c>
      <c r="M19" s="9" t="n"/>
      <c r="N19" s="9" t="n"/>
      <c r="O19" s="9" t="n"/>
      <c r="P19" s="9" t="n"/>
    </row>
    <row r="20" ht="34.5" customHeight="1" s="23">
      <c r="A20" s="7" t="inlineStr">
        <is>
          <t>B-16</t>
        </is>
      </c>
      <c r="B20" s="8" t="inlineStr">
        <is>
          <t>Item</t>
        </is>
      </c>
      <c r="C20" s="8" t="inlineStr">
        <is>
          <t>During the maintenance period was there a need to urgently transfer/ship parts? (including taking parts from the offline stack if dual stack rig)</t>
        </is>
      </c>
      <c r="D20" s="8" t="inlineStr">
        <is>
          <t>checklist</t>
        </is>
      </c>
      <c r="E20" s="8" t="inlineStr">
        <is>
          <t>Yes / No + remarks: If yes, please state details.</t>
        </is>
      </c>
      <c r="F20" s="8" t="inlineStr">
        <is>
          <t>Answered (remarks given where the prompt asks)</t>
        </is>
      </c>
      <c r="G20" s="8" t="inlineStr">
        <is>
          <t>Yes, with reason</t>
        </is>
      </c>
      <c r="H20" s="8" t="inlineStr">
        <is>
          <t>SS Supervisor / TSL</t>
        </is>
      </c>
      <c r="I20" s="8" t="inlineStr">
        <is>
          <t>BOP lands</t>
        </is>
      </c>
      <c r="J20" s="8" t="inlineStr">
        <is>
          <t>pdc_16_resp, pdc_16_rem</t>
        </is>
      </c>
      <c r="K20" s="9" t="inlineStr">
        <is>
          <t>Yes</t>
        </is>
      </c>
      <c r="L20" s="9" t="inlineStr">
        <is>
          <t>Pre-answer from SSCE requests in the window (ssce_requests per rig); crew confirms.</t>
        </is>
      </c>
      <c r="M20" s="9" t="n"/>
      <c r="N20" s="9" t="n"/>
      <c r="O20" s="9" t="n"/>
      <c r="P20" s="9" t="n"/>
    </row>
    <row r="21" ht="23" customHeight="1" s="23">
      <c r="A21" s="7" t="inlineStr">
        <is>
          <t>B-17</t>
        </is>
      </c>
      <c r="B21" s="8" t="inlineStr">
        <is>
          <t>Item</t>
        </is>
      </c>
      <c r="C21" s="8" t="inlineStr">
        <is>
          <t>Are there any overdue AAB's relevant to Well Control?</t>
        </is>
      </c>
      <c r="D21" s="8" t="inlineStr">
        <is>
          <t>checklist</t>
        </is>
      </c>
      <c r="E21" s="8" t="inlineStr">
        <is>
          <t>Yes / No + remarks: If yes, please state details.</t>
        </is>
      </c>
      <c r="F21" s="8" t="inlineStr">
        <is>
          <t>Answered (remarks given where the prompt asks)</t>
        </is>
      </c>
      <c r="G21" s="8" t="inlineStr">
        <is>
          <t>Yes, with reason</t>
        </is>
      </c>
      <c r="H21" s="8" t="inlineStr">
        <is>
          <t>SS Supervisor / TSL</t>
        </is>
      </c>
      <c r="I21" s="8" t="inlineStr">
        <is>
          <t>BOP lands</t>
        </is>
      </c>
      <c r="J21" s="8" t="inlineStr">
        <is>
          <t>pdc_17_resp, pdc_17_rem</t>
        </is>
      </c>
      <c r="K21" s="9" t="inlineStr">
        <is>
          <t>Change</t>
        </is>
      </c>
      <c r="L21" s="9" t="inlineStr">
        <is>
          <t>SACRED knows this exactly: the AAB register holds every Priority 3 AAB per rig with state (outstanding / partly acknowledged / overdue). Suggest the line is populated, not asked: "Overdue AABs: n" with the list, and the crew adds remarks only. Keep Yes/No for the form.</t>
        </is>
      </c>
      <c r="M21" s="9" t="n"/>
      <c r="N21" s="9" t="n"/>
      <c r="O21" s="9" t="n"/>
      <c r="P21" s="9" t="n"/>
    </row>
    <row r="22" ht="23" customHeight="1" s="23">
      <c r="A22" s="7" t="inlineStr">
        <is>
          <t>B-18</t>
        </is>
      </c>
      <c r="B22" s="8" t="inlineStr">
        <is>
          <t>Item</t>
        </is>
      </c>
      <c r="C22" s="8" t="inlineStr">
        <is>
          <t>Is there sufficient riser torque tools available with sufficient spares?</t>
        </is>
      </c>
      <c r="D22" s="8" t="inlineStr">
        <is>
          <t>checklist</t>
        </is>
      </c>
      <c r="E22" s="8" t="inlineStr">
        <is>
          <t>Yes / No</t>
        </is>
      </c>
      <c r="F22" s="8" t="inlineStr">
        <is>
          <t>Answered</t>
        </is>
      </c>
      <c r="G22" s="8" t="inlineStr">
        <is>
          <t>Yes, with reason</t>
        </is>
      </c>
      <c r="H22" s="8" t="inlineStr">
        <is>
          <t>SS Supervisor / TSL</t>
        </is>
      </c>
      <c r="I22" s="8" t="inlineStr">
        <is>
          <t>BOP lands</t>
        </is>
      </c>
      <c r="J22" s="8" t="inlineStr">
        <is>
          <t>pdc_18_resp, pdc_18_rem</t>
        </is>
      </c>
      <c r="K22" s="9" t="inlineStr">
        <is>
          <t>Yes</t>
        </is>
      </c>
      <c r="L22" s="9" t="inlineStr">
        <is>
          <t>Typed.</t>
        </is>
      </c>
      <c r="M22" s="9" t="n"/>
      <c r="N22" s="9" t="n"/>
      <c r="O22" s="9" t="n"/>
      <c r="P22" s="9" t="n"/>
    </row>
    <row r="23" ht="23" customHeight="1" s="23">
      <c r="A23" s="7" t="inlineStr">
        <is>
          <t>B-19</t>
        </is>
      </c>
      <c r="B23" s="8" t="inlineStr">
        <is>
          <t>Item</t>
        </is>
      </c>
      <c r="C23" s="8" t="inlineStr">
        <is>
          <t>Has the BOP handling equipment been function tested and is there any known deficiencies?</t>
        </is>
      </c>
      <c r="D23" s="8" t="inlineStr">
        <is>
          <t>checklist</t>
        </is>
      </c>
      <c r="E23" s="8" t="inlineStr">
        <is>
          <t>Yes / No</t>
        </is>
      </c>
      <c r="F23" s="8" t="inlineStr">
        <is>
          <t>Answered</t>
        </is>
      </c>
      <c r="G23" s="8" t="inlineStr">
        <is>
          <t>Yes, with reason</t>
        </is>
      </c>
      <c r="H23" s="8" t="inlineStr">
        <is>
          <t>SS Supervisor / TSL</t>
        </is>
      </c>
      <c r="I23" s="8" t="inlineStr">
        <is>
          <t>BOP lands</t>
        </is>
      </c>
      <c r="J23" s="8" t="inlineStr">
        <is>
          <t>pdc_19_resp, pdc_19_rem</t>
        </is>
      </c>
      <c r="K23" s="9" t="inlineStr">
        <is>
          <t>Yes</t>
        </is>
      </c>
      <c r="L23" s="9" t="inlineStr">
        <is>
          <t>Typed.</t>
        </is>
      </c>
      <c r="M23" s="9" t="n"/>
      <c r="N23" s="9" t="n"/>
      <c r="O23" s="9" t="n"/>
      <c r="P23" s="9" t="n"/>
    </row>
    <row r="24" ht="23" customHeight="1" s="23">
      <c r="A24" s="7" t="inlineStr">
        <is>
          <t>B-20</t>
        </is>
      </c>
      <c r="B24" s="8" t="inlineStr">
        <is>
          <t>Item</t>
        </is>
      </c>
      <c r="C24" s="8" t="inlineStr">
        <is>
          <t>Was someone from TSC well control equipment group onboard to assist during the BTW period?</t>
        </is>
      </c>
      <c r="D24" s="8" t="inlineStr">
        <is>
          <t>checklist</t>
        </is>
      </c>
      <c r="E24" s="8" t="inlineStr">
        <is>
          <t>Yes / No</t>
        </is>
      </c>
      <c r="F24" s="8" t="inlineStr">
        <is>
          <t>Answered</t>
        </is>
      </c>
      <c r="G24" s="8" t="inlineStr">
        <is>
          <t>Yes, with reason</t>
        </is>
      </c>
      <c r="H24" s="8" t="inlineStr">
        <is>
          <t>SS Supervisor / TSL</t>
        </is>
      </c>
      <c r="I24" s="8" t="inlineStr">
        <is>
          <t>BOP lands</t>
        </is>
      </c>
      <c r="J24" s="8" t="inlineStr">
        <is>
          <t>pdc_20_resp, pdc_20_rem</t>
        </is>
      </c>
      <c r="K24" s="9" t="inlineStr">
        <is>
          <t>Yes</t>
        </is>
      </c>
      <c r="L24" s="9" t="inlineStr">
        <is>
          <t>Pre-answer from rig visit reports posted for the rig in the window (WCGRRT daily reports name the TSC visitor); crew confirms.</t>
        </is>
      </c>
      <c r="M24" s="9" t="n"/>
      <c r="N24" s="9" t="n"/>
      <c r="O24" s="9" t="n"/>
      <c r="P24" s="9" t="n"/>
    </row>
    <row r="25" ht="80.5" customHeight="1" s="23">
      <c r="A25" s="7" t="inlineStr">
        <is>
          <t>B-M1</t>
        </is>
      </c>
      <c r="B25" s="8" t="inlineStr">
        <is>
          <t>Item</t>
        </is>
      </c>
      <c r="C25" s="8" t="inlineStr">
        <is>
          <t>Are any milling operations planned in the upcoming drilling program?</t>
        </is>
      </c>
      <c r="D25" s="8" t="inlineStr">
        <is>
          <t>checklist</t>
        </is>
      </c>
      <c r="E25" s="8" t="inlineStr">
        <is>
          <t>Yes / No + remarks: Raised at the West Neptune MPR investigation closeout. Milling debris is a known threat to ram packers and door sealing faces, and the BOP crew need to know before the stack goes in the water. If Yes, record what is planned and when in Remarks.</t>
        </is>
      </c>
      <c r="F25" s="8" t="inlineStr">
        <is>
          <t>Answered (remarks given where the prompt asks)</t>
        </is>
      </c>
      <c r="G25" s="8" t="inlineStr">
        <is>
          <t>Yes, with reason</t>
        </is>
      </c>
      <c r="H25" s="8" t="inlineStr">
        <is>
          <t>SS Supervisor / TSL</t>
        </is>
      </c>
      <c r="I25" s="8" t="inlineStr">
        <is>
          <t>BOP lands</t>
        </is>
      </c>
      <c r="J25" s="8" t="inlineStr">
        <is>
          <t>pdc_M1_resp, pdc_M1_rem</t>
        </is>
      </c>
      <c r="K25" s="9" t="inlineStr">
        <is>
          <t>Yes</t>
        </is>
      </c>
      <c r="L25" s="9" t="inlineStr">
        <is>
          <t>Agreed as a line. Typed; the drilling programme is outside SACRED.</t>
        </is>
      </c>
      <c r="M25" s="9" t="n"/>
      <c r="N25" s="9" t="n"/>
      <c r="O25" s="9" t="n"/>
      <c r="P25" s="9" t="n"/>
    </row>
    <row r="26">
      <c r="A26" s="25" t="inlineStr">
        <is>
          <t>C · BOP configuration and stack</t>
        </is>
      </c>
      <c r="K26" s="6" t="n"/>
      <c r="L26" s="6" t="n"/>
      <c r="M26" s="6" t="n"/>
      <c r="N26" s="6" t="n"/>
      <c r="O26" s="6" t="n"/>
      <c r="P26" s="6" t="n"/>
    </row>
    <row r="27" ht="23" customHeight="1" s="23">
      <c r="A27" s="7" t="inlineStr">
        <is>
          <t>C-01</t>
        </is>
      </c>
      <c r="B27" s="8" t="inlineStr">
        <is>
          <t>BOP config</t>
        </is>
      </c>
      <c r="C27" s="8" t="inlineStr">
        <is>
          <t>BOP designation, manufacturer, number of cavities, status</t>
        </is>
      </c>
      <c r="D27" s="8" t="inlineStr">
        <is>
          <t>stack</t>
        </is>
      </c>
      <c r="E27" s="8" t="inlineStr">
        <is>
          <t>Selections</t>
        </is>
      </c>
      <c r="F27" s="8" t="inlineStr">
        <is>
          <t>All four set</t>
        </is>
      </c>
      <c r="G27" s="8" t="inlineStr">
        <is>
          <t>No</t>
        </is>
      </c>
      <c r="H27" s="8" t="inlineStr">
        <is>
          <t>SS Supervisor</t>
        </is>
      </c>
      <c r="I27" s="8" t="inlineStr">
        <is>
          <t>BOP lands</t>
        </is>
      </c>
      <c r="J27" s="8" t="inlineStr">
        <is>
          <t>pdcbop_desig, pdcbop_s&lt;s&gt;_mfr / _cav / _status</t>
        </is>
      </c>
      <c r="K27" s="9" t="inlineStr">
        <is>
          <t>Yes</t>
        </is>
      </c>
      <c r="L27" s="9" t="inlineStr">
        <is>
          <t>From the plan (bopNo) and the Maximo asset tree (manufacturer, cavities) once item 45 reads the workbook SSORT 163 embeds.</t>
        </is>
      </c>
      <c r="M27" s="9" t="n"/>
      <c r="N27" s="9" t="n"/>
      <c r="O27" s="9" t="n"/>
      <c r="P27" s="9" t="n"/>
    </row>
    <row r="28" ht="23" customHeight="1" s="23">
      <c r="A28" s="7" t="inlineStr">
        <is>
          <t>C-02</t>
        </is>
      </c>
      <c r="B28" s="8" t="inlineStr">
        <is>
          <t>Stack table</t>
        </is>
      </c>
      <c r="C28" s="8" t="inlineStr">
        <is>
          <t>Annular / connector position: position, specification, install date, part no., serial no., cycle count</t>
        </is>
      </c>
      <c r="D28" s="8" t="inlineStr">
        <is>
          <t>position (UA, RC, LA, WHC)</t>
        </is>
      </c>
      <c r="E28" s="8" t="inlineStr">
        <is>
          <t>Recorded values</t>
        </is>
      </c>
      <c r="F28" s="8" t="inlineStr">
        <is>
          <t>All fields filled</t>
        </is>
      </c>
      <c r="G28" s="8" t="inlineStr">
        <is>
          <t>Yes, with reason</t>
        </is>
      </c>
      <c r="H28" s="8" t="inlineStr">
        <is>
          <t>SS Engineer</t>
        </is>
      </c>
      <c r="I28" s="8" t="inlineStr">
        <is>
          <t>BOP lands</t>
        </is>
      </c>
      <c r="J28" s="8" t="inlineStr">
        <is>
          <t>pdcbop_s&lt;s&gt;_r&lt;i&gt;_pos / _spec / _install / _pn / _serial / _cycles</t>
        </is>
      </c>
      <c r="K28" s="9" t="inlineStr">
        <is>
          <t>Change</t>
        </is>
      </c>
      <c r="L28" s="9" t="inlineStr">
        <is>
          <t>Part and serial numbers for annulars and connectors are on the CoC tracker (Maximo extract) per rig and position; install dates from the CBM posts. Suggest SACRED pre-fills and the crew corrects; the slot/position must be a key, not free text (Q2 applies here too).</t>
        </is>
      </c>
      <c r="M28" s="9" t="n"/>
      <c r="N28" s="9" t="n"/>
      <c r="O28" s="9" t="n"/>
      <c r="P28" s="9" t="n"/>
    </row>
    <row r="29" ht="34.5" customHeight="1" s="23">
      <c r="A29" s="7" t="inlineStr">
        <is>
          <t>C-03</t>
        </is>
      </c>
      <c r="B29" s="8" t="inlineStr">
        <is>
          <t>Stack table</t>
        </is>
      </c>
      <c r="C29" s="8" t="inlineStr">
        <is>
          <t>Ram cavity position: position, specification, install date, FWD and AFT packer part / serial, cycle count</t>
        </is>
      </c>
      <c r="D29" s="8" t="inlineStr">
        <is>
          <t>cavity</t>
        </is>
      </c>
      <c r="E29" s="8" t="inlineStr">
        <is>
          <t>Recorded values</t>
        </is>
      </c>
      <c r="F29" s="8" t="inlineStr">
        <is>
          <t>All fields filled</t>
        </is>
      </c>
      <c r="G29" s="8" t="inlineStr">
        <is>
          <t>Yes, with reason</t>
        </is>
      </c>
      <c r="H29" s="8" t="inlineStr">
        <is>
          <t>SS Engineer</t>
        </is>
      </c>
      <c r="I29" s="8" t="inlineStr">
        <is>
          <t>BOP lands</t>
        </is>
      </c>
      <c r="J29" s="8" t="inlineStr">
        <is>
          <t>pdcbop_s&lt;s&gt;_r&lt;i&gt;_pos / _spec / _install / _pnf / _pna / _snf / _sna / _cycles</t>
        </is>
      </c>
      <c r="K29" s="9" t="inlineStr">
        <is>
          <t>Change</t>
        </is>
      </c>
      <c r="L29" s="9" t="inlineStr">
        <is>
          <t>Same as C-02 for ram cavities: FWD and AFT packer part / serial come from the CBM inspection posts (SSORT 158 names them per block) and the tracker. Pre-fill, crew confirms. Cycle counts stay typed.</t>
        </is>
      </c>
      <c r="M29" s="9" t="n"/>
      <c r="N29" s="9" t="n"/>
      <c r="O29" s="9" t="n"/>
      <c r="P29" s="9" t="n"/>
    </row>
    <row r="30" ht="23" customHeight="1" s="23">
      <c r="A30" s="7" t="inlineStr">
        <is>
          <t>C-04</t>
        </is>
      </c>
      <c r="B30" s="8" t="inlineStr">
        <is>
          <t>Ram packers</t>
        </is>
      </c>
      <c r="C30" s="8" t="inlineStr">
        <is>
          <t>All ram packers installed correctly and orientation confirmed</t>
        </is>
      </c>
      <c r="D30" s="8" t="inlineStr">
        <is>
          <t>stack</t>
        </is>
      </c>
      <c r="E30" s="8" t="inlineStr">
        <is>
          <t>Yes / No + remarks</t>
        </is>
      </c>
      <c r="F30" s="8" t="inlineStr">
        <is>
          <t>Yes</t>
        </is>
      </c>
      <c r="G30" s="8" t="inlineStr">
        <is>
          <t>No</t>
        </is>
      </c>
      <c r="H30" s="8" t="inlineStr">
        <is>
          <t>SS Supervisor</t>
        </is>
      </c>
      <c r="I30" s="8" t="inlineStr">
        <is>
          <t>Rams closed up</t>
        </is>
      </c>
      <c r="J30" s="8" t="inlineStr">
        <is>
          <t>pdcbop_s&lt;s&gt;_packers_ok, _packers_rem</t>
        </is>
      </c>
      <c r="K30" s="9" t="inlineStr">
        <is>
          <t>Yes</t>
        </is>
      </c>
      <c r="L30" s="9" t="inlineStr">
        <is>
          <t>Typed by the SS Supervisor; the D-01 photographs are its evidence.</t>
        </is>
      </c>
      <c r="M30" s="9" t="n"/>
      <c r="N30" s="9" t="n"/>
      <c r="O30" s="9" t="n"/>
      <c r="P30" s="9" t="n"/>
    </row>
    <row r="31">
      <c r="A31" s="25" t="inlineStr">
        <is>
          <t>D · Photographic evidence (the SSORT post gate counts these)</t>
        </is>
      </c>
      <c r="K31" s="6" t="n"/>
      <c r="L31" s="6" t="n"/>
      <c r="M31" s="6" t="n"/>
      <c r="N31" s="6" t="n"/>
      <c r="O31" s="6" t="n"/>
      <c r="P31" s="6" t="n"/>
    </row>
    <row r="32" ht="23" customHeight="1" s="23">
      <c r="A32" s="7" t="inlineStr">
        <is>
          <t>D-01</t>
        </is>
      </c>
      <c r="B32" s="8" t="inlineStr">
        <is>
          <t>Photographs</t>
        </is>
      </c>
      <c r="C32" s="8" t="inlineStr">
        <is>
          <t>Ram packer photographs, FWD and AFT</t>
        </is>
      </c>
      <c r="D32" s="8" t="inlineStr">
        <is>
          <t>cavity</t>
        </is>
      </c>
      <c r="E32" s="8" t="inlineStr">
        <is>
          <t>2 photographs, slot-labelled (e.g. "UBSR — FWD")</t>
        </is>
      </c>
      <c r="F32" s="8" t="inlineStr">
        <is>
          <t>Both present</t>
        </is>
      </c>
      <c r="G32" s="8" t="inlineStr">
        <is>
          <t>No</t>
        </is>
      </c>
      <c r="H32" s="8" t="inlineStr">
        <is>
          <t>SS Engineer</t>
        </is>
      </c>
      <c r="I32" s="8" t="inlineStr">
        <is>
          <t>Rams pulled</t>
        </is>
      </c>
      <c r="J32" s="8" t="inlineStr">
        <is>
          <t>pdcbop_s&lt;s&gt;_ph_rams</t>
        </is>
      </c>
      <c r="K32" s="9" t="inlineStr">
        <is>
          <t>Change</t>
        </is>
      </c>
      <c r="L32" s="9" t="inlineStr">
        <is>
          <t>These photographs are already taken for the CBM inspection of each ram block (SSORT cbmData photos per cavity). Suggest the matrix accepts a linked CBM post as the evidence for the cavity (Link to plan on the CBM tile, entry 62 stage 4), so the crew does not photograph the same packer twice. Slot-labelled, per Q2.</t>
        </is>
      </c>
      <c r="M32" s="9" t="n"/>
      <c r="N32" s="9" t="n"/>
      <c r="O32" s="9" t="n"/>
      <c r="P32" s="9" t="n"/>
    </row>
    <row r="33">
      <c r="A33" s="7" t="inlineStr">
        <is>
          <t>D-02</t>
        </is>
      </c>
      <c r="B33" s="8" t="inlineStr">
        <is>
          <t>Photographs</t>
        </is>
      </c>
      <c r="C33" s="8" t="inlineStr">
        <is>
          <t>Cavity sealing face photographs, FWD and AFT</t>
        </is>
      </c>
      <c r="D33" s="8" t="inlineStr">
        <is>
          <t>cavity</t>
        </is>
      </c>
      <c r="E33" s="8" t="inlineStr">
        <is>
          <t>2 photographs, slot-labelled</t>
        </is>
      </c>
      <c r="F33" s="8" t="inlineStr">
        <is>
          <t>Both present</t>
        </is>
      </c>
      <c r="G33" s="8" t="inlineStr">
        <is>
          <t>No</t>
        </is>
      </c>
      <c r="H33" s="8" t="inlineStr">
        <is>
          <t>SS Engineer</t>
        </is>
      </c>
      <c r="I33" s="8" t="inlineStr">
        <is>
          <t>Rams pulled</t>
        </is>
      </c>
      <c r="J33" s="8" t="inlineStr">
        <is>
          <t>pdcbop_s&lt;s&gt;_ph_cavities</t>
        </is>
      </c>
      <c r="K33" s="9" t="inlineStr">
        <is>
          <t>Change</t>
        </is>
      </c>
      <c r="L33" s="9" t="inlineStr">
        <is>
          <t>Same as D-01: cavity sealing faces are photographed in the ram block CBM. Link, do not re-shoot.</t>
        </is>
      </c>
      <c r="M33" s="9" t="n"/>
      <c r="N33" s="9" t="n"/>
      <c r="O33" s="9" t="n"/>
      <c r="P33" s="9" t="n"/>
    </row>
    <row r="34">
      <c r="A34" s="7" t="inlineStr">
        <is>
          <t>D-03</t>
        </is>
      </c>
      <c r="B34" s="8" t="inlineStr">
        <is>
          <t>Photographs</t>
        </is>
      </c>
      <c r="C34" s="8" t="inlineStr">
        <is>
          <t>Door sealing face photographs, FWD and AFT</t>
        </is>
      </c>
      <c r="D34" s="8" t="inlineStr">
        <is>
          <t>cavity</t>
        </is>
      </c>
      <c r="E34" s="8" t="inlineStr">
        <is>
          <t>2 photographs, slot-labelled</t>
        </is>
      </c>
      <c r="F34" s="8" t="inlineStr">
        <is>
          <t>Both present</t>
        </is>
      </c>
      <c r="G34" s="8" t="inlineStr">
        <is>
          <t>No</t>
        </is>
      </c>
      <c r="H34" s="8" t="inlineStr">
        <is>
          <t>SS Engineer</t>
        </is>
      </c>
      <c r="I34" s="8" t="inlineStr">
        <is>
          <t>Rams pulled</t>
        </is>
      </c>
      <c r="J34" s="8" t="inlineStr">
        <is>
          <t>pdcbop_s&lt;s&gt;_ph_doors</t>
        </is>
      </c>
      <c r="K34" s="9" t="inlineStr">
        <is>
          <t>Change</t>
        </is>
      </c>
      <c r="L34" s="9" t="inlineStr">
        <is>
          <t>Same: door sealing faces are in the door assembly CBM.</t>
        </is>
      </c>
      <c r="M34" s="9" t="n"/>
      <c r="N34" s="9" t="n"/>
      <c r="O34" s="9" t="n"/>
      <c r="P34" s="9" t="n"/>
    </row>
    <row r="35">
      <c r="A35" s="25" t="inlineStr">
        <is>
          <t>E · Electrical</t>
        </is>
      </c>
      <c r="K35" s="6" t="n"/>
      <c r="L35" s="6" t="n"/>
      <c r="M35" s="6" t="n"/>
      <c r="N35" s="6" t="n"/>
      <c r="O35" s="6" t="n"/>
      <c r="P35" s="6" t="n"/>
    </row>
    <row r="36" ht="23" customHeight="1" s="23">
      <c r="A36" s="7" t="inlineStr">
        <is>
          <t>E-01</t>
        </is>
      </c>
      <c r="B36" s="8" t="inlineStr">
        <is>
          <t>Electrical</t>
        </is>
      </c>
      <c r="C36" s="8" t="inlineStr">
        <is>
          <t>All electrical checks completed per Guidelines for Pre-Deployment – Checklist</t>
        </is>
      </c>
      <c r="D36" s="8" t="inlineStr">
        <is>
          <t>checklist</t>
        </is>
      </c>
      <c r="E36" s="8" t="inlineStr">
        <is>
          <t>Yes / No + remarks</t>
        </is>
      </c>
      <c r="F36" s="8" t="inlineStr">
        <is>
          <t>Yes</t>
        </is>
      </c>
      <c r="G36" s="8" t="inlineStr">
        <is>
          <t>No</t>
        </is>
      </c>
      <c r="H36" s="8" t="inlineStr">
        <is>
          <t>Electrical Supervisor</t>
        </is>
      </c>
      <c r="I36" s="8" t="inlineStr">
        <is>
          <t>Before tests</t>
        </is>
      </c>
      <c r="J36" s="8" t="inlineStr">
        <is>
          <t>pdc_elec_checks_resp, _rem</t>
        </is>
      </c>
      <c r="K36" s="9" t="inlineStr">
        <is>
          <t>Yes</t>
        </is>
      </c>
      <c r="L36" s="9" t="inlineStr">
        <is>
          <t>Typed by the Electrical Supervisor; the ESVEmail column on the Rigs sheet is being filled so the line's owner gets the notification.</t>
        </is>
      </c>
      <c r="M36" s="9" t="n"/>
      <c r="N36" s="9" t="n"/>
      <c r="O36" s="9" t="n"/>
      <c r="P36" s="9" t="n"/>
    </row>
    <row r="37" ht="23" customHeight="1" s="23">
      <c r="A37" s="7" t="inlineStr">
        <is>
          <t>E-02</t>
        </is>
      </c>
      <c r="B37" s="8" t="inlineStr">
        <is>
          <t>Electrical</t>
        </is>
      </c>
      <c r="C37" s="8" t="inlineStr">
        <is>
          <t>Riser Anti Recoil Relay installed (RARS) — circuit ref RL-1-EDS</t>
        </is>
      </c>
      <c r="D37" s="8" t="inlineStr">
        <is>
          <t>checklist</t>
        </is>
      </c>
      <c r="E37" s="8" t="inlineStr">
        <is>
          <t>Tick</t>
        </is>
      </c>
      <c r="F37" s="8" t="inlineStr">
        <is>
          <t>Ticked</t>
        </is>
      </c>
      <c r="G37" s="8" t="inlineStr">
        <is>
          <t>Yes, with reason</t>
        </is>
      </c>
      <c r="H37" s="8" t="inlineStr">
        <is>
          <t>Electrical Supervisor</t>
        </is>
      </c>
      <c r="I37" s="8" t="inlineStr">
        <is>
          <t>Before tests</t>
        </is>
      </c>
      <c r="J37" s="8" t="inlineStr">
        <is>
          <t>pdc_elec_rars_relay</t>
        </is>
      </c>
      <c r="K37" s="9" t="inlineStr">
        <is>
          <t>Yes</t>
        </is>
      </c>
      <c r="L37" s="9" t="inlineStr">
        <is>
          <t>Typed.</t>
        </is>
      </c>
      <c r="M37" s="9" t="n"/>
      <c r="N37" s="9" t="n"/>
      <c r="O37" s="9" t="n"/>
      <c r="P37" s="9" t="n"/>
    </row>
    <row r="38" ht="23" customHeight="1" s="23">
      <c r="A38" s="7" t="inlineStr">
        <is>
          <t>E-03</t>
        </is>
      </c>
      <c r="B38" s="8" t="inlineStr">
        <is>
          <t>Electrical</t>
        </is>
      </c>
      <c r="C38" s="8" t="inlineStr">
        <is>
          <t>RARS terminal spades installed in Drill Floor LIR Wireline Riser Tensioner Cabinet</t>
        </is>
      </c>
      <c r="D38" s="8" t="inlineStr">
        <is>
          <t>checklist</t>
        </is>
      </c>
      <c r="E38" s="8" t="inlineStr">
        <is>
          <t>Tick</t>
        </is>
      </c>
      <c r="F38" s="8" t="inlineStr">
        <is>
          <t>Ticked</t>
        </is>
      </c>
      <c r="G38" s="8" t="inlineStr">
        <is>
          <t>Yes, with reason</t>
        </is>
      </c>
      <c r="H38" s="8" t="inlineStr">
        <is>
          <t>Electrical Supervisor</t>
        </is>
      </c>
      <c r="I38" s="8" t="inlineStr">
        <is>
          <t>Before tests</t>
        </is>
      </c>
      <c r="J38" s="8" t="inlineStr">
        <is>
          <t>pdc_elec_rars_spades</t>
        </is>
      </c>
      <c r="K38" s="9" t="inlineStr">
        <is>
          <t>Yes</t>
        </is>
      </c>
      <c r="L38" s="9" t="inlineStr">
        <is>
          <t>Typed.</t>
        </is>
      </c>
      <c r="M38" s="9" t="n"/>
      <c r="N38" s="9" t="n"/>
      <c r="O38" s="9" t="n"/>
      <c r="P38" s="9" t="n"/>
    </row>
    <row r="39" ht="23" customHeight="1" s="23">
      <c r="A39" s="7" t="inlineStr">
        <is>
          <t>E-04</t>
        </is>
      </c>
      <c r="B39" s="8" t="inlineStr">
        <is>
          <t>Electrical</t>
        </is>
      </c>
      <c r="C39" s="8" t="inlineStr">
        <is>
          <t>BOP EWS alarm &amp; fault pages</t>
        </is>
      </c>
      <c r="D39" s="8" t="inlineStr">
        <is>
          <t>checklist</t>
        </is>
      </c>
      <c r="E39" s="8" t="inlineStr">
        <is>
          <t>Photographs (up to 6)</t>
        </is>
      </c>
      <c r="F39" s="8" t="inlineStr">
        <is>
          <t>At least one, clear of alarms or explained</t>
        </is>
      </c>
      <c r="G39" s="8" t="inlineStr">
        <is>
          <t>No</t>
        </is>
      </c>
      <c r="H39" s="8" t="inlineStr">
        <is>
          <t>Electrical Supervisor</t>
        </is>
      </c>
      <c r="I39" s="8" t="inlineStr">
        <is>
          <t>Before deployment</t>
        </is>
      </c>
      <c r="J39" s="8" t="inlineStr">
        <is>
          <t>pdc_elec_ph_ews</t>
        </is>
      </c>
      <c r="K39" s="9" t="inlineStr">
        <is>
          <t>Yes</t>
        </is>
      </c>
      <c r="L39" s="9" t="inlineStr">
        <is>
          <t>Photographs attached in the plan or linked from a SSORT post; SACRED files them under 07 Photos.</t>
        </is>
      </c>
      <c r="M39" s="9" t="n"/>
      <c r="N39" s="9" t="n"/>
      <c r="O39" s="9" t="n"/>
      <c r="P39" s="9" t="n"/>
    </row>
    <row r="40" ht="23" customHeight="1" s="23">
      <c r="A40" s="7" t="inlineStr">
        <is>
          <t>E-05</t>
        </is>
      </c>
      <c r="B40" s="8" t="inlineStr">
        <is>
          <t>Electrical</t>
        </is>
      </c>
      <c r="C40" s="8" t="inlineStr">
        <is>
          <t>Insulation impedance screen</t>
        </is>
      </c>
      <c r="D40" s="8" t="inlineStr">
        <is>
          <t>checklist</t>
        </is>
      </c>
      <c r="E40" s="8" t="inlineStr">
        <is>
          <t>Photographs (up to 4)</t>
        </is>
      </c>
      <c r="F40" s="8" t="inlineStr">
        <is>
          <t>At least one</t>
        </is>
      </c>
      <c r="G40" s="8" t="inlineStr">
        <is>
          <t>No</t>
        </is>
      </c>
      <c r="H40" s="8" t="inlineStr">
        <is>
          <t>Electrical Supervisor</t>
        </is>
      </c>
      <c r="I40" s="8" t="inlineStr">
        <is>
          <t>Before deployment</t>
        </is>
      </c>
      <c r="J40" s="8" t="inlineStr">
        <is>
          <t>pdc_elec_ph_ir</t>
        </is>
      </c>
      <c r="K40" s="9" t="inlineStr">
        <is>
          <t>Yes</t>
        </is>
      </c>
      <c r="L40" s="9" t="inlineStr">
        <is>
          <t>As E-04.</t>
        </is>
      </c>
      <c r="M40" s="9" t="n"/>
      <c r="N40" s="9" t="n"/>
      <c r="O40" s="9" t="n"/>
      <c r="P40" s="9" t="n"/>
    </row>
    <row r="41" ht="23" customHeight="1" s="23">
      <c r="A41" s="7" t="inlineStr">
        <is>
          <t>E-06</t>
        </is>
      </c>
      <c r="B41" s="8" t="inlineStr">
        <is>
          <t>Electrical</t>
        </is>
      </c>
      <c r="C41" s="8" t="inlineStr">
        <is>
          <t>Fibre signal strengths</t>
        </is>
      </c>
      <c r="D41" s="8" t="inlineStr">
        <is>
          <t>checklist</t>
        </is>
      </c>
      <c r="E41" s="8" t="inlineStr">
        <is>
          <t>Photographs (up to 4)</t>
        </is>
      </c>
      <c r="F41" s="8" t="inlineStr">
        <is>
          <t>At least one</t>
        </is>
      </c>
      <c r="G41" s="8" t="inlineStr">
        <is>
          <t>No</t>
        </is>
      </c>
      <c r="H41" s="8" t="inlineStr">
        <is>
          <t>Electrical Supervisor</t>
        </is>
      </c>
      <c r="I41" s="8" t="inlineStr">
        <is>
          <t>Before deployment</t>
        </is>
      </c>
      <c r="J41" s="8" t="inlineStr">
        <is>
          <t>pdc_elec_ph_fibre</t>
        </is>
      </c>
      <c r="K41" s="9" t="inlineStr">
        <is>
          <t>Yes</t>
        </is>
      </c>
      <c r="L41" s="9" t="inlineStr">
        <is>
          <t>As E-04.</t>
        </is>
      </c>
      <c r="M41" s="9" t="n"/>
      <c r="N41" s="9" t="n"/>
      <c r="O41" s="9" t="n"/>
      <c r="P41" s="9" t="n"/>
    </row>
    <row r="42">
      <c r="A42" s="25" t="inlineStr">
        <is>
          <t>F · Pre-deployment surface tests (entry 62.4)</t>
        </is>
      </c>
      <c r="K42" s="6" t="n"/>
      <c r="L42" s="6" t="n"/>
      <c r="M42" s="6" t="n"/>
      <c r="N42" s="6" t="n"/>
      <c r="O42" s="6" t="n"/>
      <c r="P42" s="6" t="n"/>
    </row>
    <row r="43" ht="23" customHeight="1" s="23">
      <c r="A43" s="7" t="inlineStr">
        <is>
          <t>F-01</t>
        </is>
      </c>
      <c r="B43" s="8" t="inlineStr">
        <is>
          <t>Surface test</t>
        </is>
      </c>
      <c r="C43" s="8" t="inlineStr">
        <is>
          <t>FUNCTION TEST</t>
        </is>
      </c>
      <c r="D43" s="8" t="inlineStr">
        <is>
          <t>stack</t>
        </is>
      </c>
      <c r="E43" s="8" t="inlineStr">
        <is>
          <t>SSORT Surface BOP Testing · BOP Function Test, linked</t>
        </is>
      </c>
      <c r="F43" s="8" t="inlineStr">
        <is>
          <t>Evidence linked / attached</t>
        </is>
      </c>
      <c r="G43" s="8" t="inlineStr">
        <is>
          <t>Yes, with reason</t>
        </is>
      </c>
      <c r="H43" s="8" t="inlineStr">
        <is>
          <t>SS Supervisor</t>
        </is>
      </c>
      <c r="I43" s="8" t="inlineStr">
        <is>
          <t>Testing</t>
        </is>
      </c>
      <c r="J43" s="8" t="inlineStr">
        <is>
          <t>Linked SSORT record (seadrill-planlink_) or attachment</t>
        </is>
      </c>
      <c r="K43" s="9" t="inlineStr">
        <is>
          <t>Yes</t>
        </is>
      </c>
      <c r="L43" s="9" t="inlineStr">
        <is>
          <t>Evidence linked: the scanner reads the seadrill-planlink_ record (v2.89) and marks the task Evidence linked; the BOP panel shows it.</t>
        </is>
      </c>
      <c r="M43" s="9" t="n"/>
      <c r="N43" s="9" t="n"/>
      <c r="O43" s="9" t="n"/>
      <c r="P43" s="9" t="n"/>
    </row>
    <row r="44" ht="23" customHeight="1" s="23">
      <c r="A44" s="7" t="inlineStr">
        <is>
          <t>F-02</t>
        </is>
      </c>
      <c r="B44" s="8" t="inlineStr">
        <is>
          <t>Surface test</t>
        </is>
      </c>
      <c r="C44" s="8" t="inlineStr">
        <is>
          <t>SOAK</t>
        </is>
      </c>
      <c r="D44" s="8" t="inlineStr">
        <is>
          <t>stack</t>
        </is>
      </c>
      <c r="E44" s="8" t="inlineStr">
        <is>
          <t>SSORT · Soak Test, linked</t>
        </is>
      </c>
      <c r="F44" s="8" t="inlineStr">
        <is>
          <t>Evidence linked / attached</t>
        </is>
      </c>
      <c r="G44" s="8" t="inlineStr">
        <is>
          <t>Yes, with reason</t>
        </is>
      </c>
      <c r="H44" s="8" t="inlineStr">
        <is>
          <t>SS Supervisor</t>
        </is>
      </c>
      <c r="I44" s="8" t="inlineStr">
        <is>
          <t>Testing</t>
        </is>
      </c>
      <c r="J44" s="8" t="inlineStr">
        <is>
          <t>Linked SSORT record (seadrill-planlink_) or attachment</t>
        </is>
      </c>
      <c r="K44" s="9" t="inlineStr">
        <is>
          <t>Yes</t>
        </is>
      </c>
      <c r="L44" s="9" t="inlineStr">
        <is>
          <t>As F-01.</t>
        </is>
      </c>
      <c r="M44" s="9" t="n"/>
      <c r="N44" s="9" t="n"/>
      <c r="O44" s="9" t="n"/>
      <c r="P44" s="9" t="n"/>
    </row>
    <row r="45" ht="23" customHeight="1" s="23">
      <c r="A45" s="7" t="inlineStr">
        <is>
          <t>F-03</t>
        </is>
      </c>
      <c r="B45" s="8" t="inlineStr">
        <is>
          <t>Surface test</t>
        </is>
      </c>
      <c r="C45" s="8" t="inlineStr">
        <is>
          <t>DRAWDOWN</t>
        </is>
      </c>
      <c r="D45" s="8" t="inlineStr">
        <is>
          <t>stack</t>
        </is>
      </c>
      <c r="E45" s="8" t="inlineStr">
        <is>
          <t>SSORT · Surface Drawdown Test, linked</t>
        </is>
      </c>
      <c r="F45" s="8" t="inlineStr">
        <is>
          <t>Evidence linked / attached</t>
        </is>
      </c>
      <c r="G45" s="8" t="inlineStr">
        <is>
          <t>Yes, with reason</t>
        </is>
      </c>
      <c r="H45" s="8" t="inlineStr">
        <is>
          <t>SS Supervisor</t>
        </is>
      </c>
      <c r="I45" s="8" t="inlineStr">
        <is>
          <t>Testing</t>
        </is>
      </c>
      <c r="J45" s="8" t="inlineStr">
        <is>
          <t>Linked SSORT record (seadrill-planlink_) or attachment</t>
        </is>
      </c>
      <c r="K45" s="9" t="inlineStr">
        <is>
          <t>Yes</t>
        </is>
      </c>
      <c r="L45" s="9" t="inlineStr">
        <is>
          <t>As F-01.</t>
        </is>
      </c>
      <c r="M45" s="9" t="n"/>
      <c r="N45" s="9" t="n"/>
      <c r="O45" s="9" t="n"/>
      <c r="P45" s="9" t="n"/>
    </row>
    <row r="46" ht="57.5" customHeight="1" s="23">
      <c r="A46" s="7" t="inlineStr">
        <is>
          <t>F-04</t>
        </is>
      </c>
      <c r="B46" s="8" t="inlineStr">
        <is>
          <t>Surface test</t>
        </is>
      </c>
      <c r="C46" s="8" t="inlineStr">
        <is>
          <t>ACOUSTIC</t>
        </is>
      </c>
      <c r="D46" s="8" t="inlineStr">
        <is>
          <t>stack</t>
        </is>
      </c>
      <c r="E46" s="8" t="inlineStr">
        <is>
          <t>SSORT · Acoustic Function Testing, linked</t>
        </is>
      </c>
      <c r="F46" s="8" t="inlineStr">
        <is>
          <t>Evidence linked / attached</t>
        </is>
      </c>
      <c r="G46" s="8" t="inlineStr">
        <is>
          <t>Yes — no acoustic system on West Vela, West Neptune, Sevan Louisiana</t>
        </is>
      </c>
      <c r="H46" s="8" t="inlineStr">
        <is>
          <t>SS Supervisor</t>
        </is>
      </c>
      <c r="I46" s="8" t="inlineStr">
        <is>
          <t>Testing</t>
        </is>
      </c>
      <c r="J46" s="8" t="inlineStr">
        <is>
          <t>Linked SSORT record (seadrill-planlink_) or attachment</t>
        </is>
      </c>
      <c r="K46" s="9" t="inlineStr">
        <is>
          <t>Yes</t>
        </is>
      </c>
      <c r="L46" s="9" t="inlineStr">
        <is>
          <t>N/A on West Vela, West Neptune, Sevan Louisiana: SACRED can set N/A automatically from the rig (no acoustic system), reason pre-filled.</t>
        </is>
      </c>
      <c r="M46" s="9" t="n"/>
      <c r="N46" s="9" t="n"/>
      <c r="O46" s="9" t="n"/>
      <c r="P46" s="9" t="n"/>
    </row>
    <row r="47" ht="23" customHeight="1" s="23">
      <c r="A47" s="7" t="inlineStr">
        <is>
          <t>F-05</t>
        </is>
      </c>
      <c r="B47" s="8" t="inlineStr">
        <is>
          <t>Surface test</t>
        </is>
      </c>
      <c r="C47" s="8" t="inlineStr">
        <is>
          <t>ROV</t>
        </is>
      </c>
      <c r="D47" s="8" t="inlineStr">
        <is>
          <t>stack</t>
        </is>
      </c>
      <c r="E47" s="8" t="inlineStr">
        <is>
          <t>SSORT · ROV Function Testing, linked</t>
        </is>
      </c>
      <c r="F47" s="8" t="inlineStr">
        <is>
          <t>Evidence linked / attached</t>
        </is>
      </c>
      <c r="G47" s="8" t="inlineStr">
        <is>
          <t>Yes, with reason</t>
        </is>
      </c>
      <c r="H47" s="8" t="inlineStr">
        <is>
          <t>SS Supervisor</t>
        </is>
      </c>
      <c r="I47" s="8" t="inlineStr">
        <is>
          <t>Testing</t>
        </is>
      </c>
      <c r="J47" s="8" t="inlineStr">
        <is>
          <t>Linked SSORT record (seadrill-planlink_) or attachment</t>
        </is>
      </c>
      <c r="K47" s="9" t="inlineStr">
        <is>
          <t>Yes</t>
        </is>
      </c>
      <c r="L47" s="9" t="inlineStr">
        <is>
          <t>As F-01.</t>
        </is>
      </c>
      <c r="M47" s="9" t="n"/>
      <c r="N47" s="9" t="n"/>
      <c r="O47" s="9" t="n"/>
      <c r="P47" s="9" t="n"/>
    </row>
    <row r="48" ht="23" customHeight="1" s="23">
      <c r="A48" s="7" t="inlineStr">
        <is>
          <t>F-06</t>
        </is>
      </c>
      <c r="B48" s="8" t="inlineStr">
        <is>
          <t>Surface test</t>
        </is>
      </c>
      <c r="C48" s="8" t="inlineStr">
        <is>
          <t>EDS</t>
        </is>
      </c>
      <c r="D48" s="8" t="inlineStr">
        <is>
          <t>stack</t>
        </is>
      </c>
      <c r="E48" s="8" t="inlineStr">
        <is>
          <t>SSORT · EDS Testing, linked</t>
        </is>
      </c>
      <c r="F48" s="8" t="inlineStr">
        <is>
          <t>Evidence linked / attached</t>
        </is>
      </c>
      <c r="G48" s="8" t="inlineStr">
        <is>
          <t>Yes, with reason</t>
        </is>
      </c>
      <c r="H48" s="8" t="inlineStr">
        <is>
          <t>SS Supervisor</t>
        </is>
      </c>
      <c r="I48" s="8" t="inlineStr">
        <is>
          <t>Testing</t>
        </is>
      </c>
      <c r="J48" s="8" t="inlineStr">
        <is>
          <t>Linked SSORT record (seadrill-planlink_) or attachment</t>
        </is>
      </c>
      <c r="K48" s="9" t="inlineStr">
        <is>
          <t>Yes</t>
        </is>
      </c>
      <c r="L48" s="9" t="inlineStr">
        <is>
          <t>As F-01.</t>
        </is>
      </c>
      <c r="M48" s="9" t="n"/>
      <c r="N48" s="9" t="n"/>
      <c r="O48" s="9" t="n"/>
      <c r="P48" s="9" t="n"/>
    </row>
    <row r="49" ht="23" customHeight="1" s="23">
      <c r="A49" s="7" t="inlineStr">
        <is>
          <t>F-07</t>
        </is>
      </c>
      <c r="B49" s="8" t="inlineStr">
        <is>
          <t>Surface test</t>
        </is>
      </c>
      <c r="C49" s="8" t="inlineStr">
        <is>
          <t>EHBS</t>
        </is>
      </c>
      <c r="D49" s="8" t="inlineStr">
        <is>
          <t>stack</t>
        </is>
      </c>
      <c r="E49" s="8" t="inlineStr">
        <is>
          <t>SSORT · EHBS Testing, linked</t>
        </is>
      </c>
      <c r="F49" s="8" t="inlineStr">
        <is>
          <t>Evidence linked / attached</t>
        </is>
      </c>
      <c r="G49" s="8" t="inlineStr">
        <is>
          <t>Yes, with reason</t>
        </is>
      </c>
      <c r="H49" s="8" t="inlineStr">
        <is>
          <t>SS Supervisor</t>
        </is>
      </c>
      <c r="I49" s="8" t="inlineStr">
        <is>
          <t>Testing</t>
        </is>
      </c>
      <c r="J49" s="8" t="inlineStr">
        <is>
          <t>Linked SSORT record (seadrill-planlink_) or attachment</t>
        </is>
      </c>
      <c r="K49" s="9" t="inlineStr">
        <is>
          <t>Yes</t>
        </is>
      </c>
      <c r="L49" s="9" t="inlineStr">
        <is>
          <t>As F-01.</t>
        </is>
      </c>
      <c r="M49" s="9" t="n"/>
      <c r="N49" s="9" t="n"/>
      <c r="O49" s="9" t="n"/>
      <c r="P49" s="9" t="n"/>
    </row>
    <row r="50" ht="23" customHeight="1" s="23">
      <c r="A50" s="7" t="inlineStr">
        <is>
          <t>F-08</t>
        </is>
      </c>
      <c r="B50" s="8" t="inlineStr">
        <is>
          <t>Surface test</t>
        </is>
      </c>
      <c r="C50" s="8" t="inlineStr">
        <is>
          <t>PRESSURE TEST</t>
        </is>
      </c>
      <c r="D50" s="8" t="inlineStr">
        <is>
          <t>stack</t>
        </is>
      </c>
      <c r="E50" s="8" t="inlineStr">
        <is>
          <t>Test charts (digital or analogue) attached in the plan</t>
        </is>
      </c>
      <c r="F50" s="8" t="inlineStr">
        <is>
          <t>Evidence linked / attached</t>
        </is>
      </c>
      <c r="G50" s="8" t="inlineStr">
        <is>
          <t>Yes, with reason</t>
        </is>
      </c>
      <c r="H50" s="8" t="inlineStr">
        <is>
          <t>SS Supervisor</t>
        </is>
      </c>
      <c r="I50" s="8" t="inlineStr">
        <is>
          <t>Testing</t>
        </is>
      </c>
      <c r="J50" s="8" t="inlineStr">
        <is>
          <t>(none — attachment in the plan)</t>
        </is>
      </c>
      <c r="K50" s="9" t="inlineStr">
        <is>
          <t>Yes</t>
        </is>
      </c>
      <c r="L50" s="9" t="inlineStr">
        <is>
          <t>Attachment in the plan (plan-evidence post); SACRED files it under 03 Testing and marks Evidence linked.</t>
        </is>
      </c>
      <c r="M50" s="9" t="n"/>
      <c r="N50" s="9" t="n"/>
      <c r="O50" s="9" t="n"/>
      <c r="P50" s="9" t="n"/>
    </row>
    <row r="51">
      <c r="A51" s="7" t="inlineStr">
        <is>
          <t>F-09</t>
        </is>
      </c>
      <c r="B51" s="8" t="inlineStr">
        <is>
          <t>Surface test</t>
        </is>
      </c>
      <c r="C51" s="8" t="inlineStr">
        <is>
          <t>DRIFT</t>
        </is>
      </c>
      <c r="D51" s="8" t="inlineStr">
        <is>
          <t>stack</t>
        </is>
      </c>
      <c r="E51" s="8" t="inlineStr">
        <is>
          <t>Drift record attached in the plan</t>
        </is>
      </c>
      <c r="F51" s="8" t="inlineStr">
        <is>
          <t>Evidence linked / attached</t>
        </is>
      </c>
      <c r="G51" s="8" t="inlineStr">
        <is>
          <t>Yes, with reason</t>
        </is>
      </c>
      <c r="H51" s="8" t="inlineStr">
        <is>
          <t>SS Supervisor</t>
        </is>
      </c>
      <c r="I51" s="8" t="inlineStr">
        <is>
          <t>Testing</t>
        </is>
      </c>
      <c r="J51" s="8" t="inlineStr">
        <is>
          <t>(none — attachment in the plan)</t>
        </is>
      </c>
      <c r="K51" s="9" t="inlineStr">
        <is>
          <t>Yes</t>
        </is>
      </c>
      <c r="L51" s="9" t="inlineStr">
        <is>
          <t>As F-08.</t>
        </is>
      </c>
      <c r="M51" s="9" t="n"/>
      <c r="N51" s="9" t="n"/>
      <c r="O51" s="9" t="n"/>
      <c r="P51" s="9" t="n"/>
    </row>
    <row r="52">
      <c r="A52" s="25" t="inlineStr">
        <is>
          <t>G · Non-compliance, exemption</t>
        </is>
      </c>
      <c r="K52" s="6" t="n"/>
      <c r="L52" s="6" t="n"/>
      <c r="M52" s="6" t="n"/>
      <c r="N52" s="6" t="n"/>
      <c r="O52" s="6" t="n"/>
      <c r="P52" s="6" t="n"/>
    </row>
    <row r="53" ht="23" customHeight="1" s="23">
      <c r="A53" s="7" t="inlineStr">
        <is>
          <t>G-01</t>
        </is>
      </c>
      <c r="B53" s="8" t="inlineStr">
        <is>
          <t>Non-compliance</t>
        </is>
      </c>
      <c r="C53" s="8" t="inlineStr">
        <is>
          <t>Potential non-compliance / non-completion of PMs: description, reason, Synergi MOC/NC or MAXIMO NC no.</t>
        </is>
      </c>
      <c r="D53" s="8" t="inlineStr">
        <is>
          <t>entry</t>
        </is>
      </c>
      <c r="E53" s="8" t="inlineStr">
        <is>
          <t>Rows as needed</t>
        </is>
      </c>
      <c r="F53" s="8" t="inlineStr">
        <is>
          <t>Each row has a reference, or "none" stated</t>
        </is>
      </c>
      <c r="G53" s="8" t="inlineStr">
        <is>
          <t>n/a</t>
        </is>
      </c>
      <c r="H53" s="8" t="inlineStr">
        <is>
          <t>TSL</t>
        </is>
      </c>
      <c r="I53" s="8" t="inlineStr">
        <is>
          <t>Any time</t>
        </is>
      </c>
      <c r="J53" s="8" t="inlineStr">
        <is>
          <t>pdc_nc_r&lt;i&gt;_desc / _reason / _ref</t>
        </is>
      </c>
      <c r="K53" s="9" t="inlineStr">
        <is>
          <t>Yes</t>
        </is>
      </c>
      <c r="L53" s="9" t="inlineStr">
        <is>
          <t>Agreed. SACRED can pre-list the deferred work orders (plan_deferrals with reason) as candidate rows; TSL confirms or adds.</t>
        </is>
      </c>
      <c r="M53" s="9" t="n"/>
      <c r="N53" s="9" t="n"/>
      <c r="O53" s="9" t="n"/>
      <c r="P53" s="9" t="n"/>
    </row>
    <row r="54">
      <c r="A54" s="7" t="inlineStr">
        <is>
          <t>G-02</t>
        </is>
      </c>
      <c r="B54" s="8" t="inlineStr">
        <is>
          <t>Exemption</t>
        </is>
      </c>
      <c r="C54" s="8" t="inlineStr">
        <is>
          <t>Comments in case of exemption from the above</t>
        </is>
      </c>
      <c r="D54" s="8" t="inlineStr">
        <is>
          <t>checklist</t>
        </is>
      </c>
      <c r="E54" s="8" t="inlineStr">
        <is>
          <t>Text</t>
        </is>
      </c>
      <c r="F54" s="8" t="inlineStr">
        <is>
          <t>Filled when any line is N/A or No</t>
        </is>
      </c>
      <c r="G54" s="8" t="inlineStr">
        <is>
          <t>n/a</t>
        </is>
      </c>
      <c r="H54" s="8" t="inlineStr">
        <is>
          <t>TSL</t>
        </is>
      </c>
      <c r="I54" s="8" t="inlineStr">
        <is>
          <t>Before sign-off</t>
        </is>
      </c>
      <c r="J54" s="8" t="inlineStr">
        <is>
          <t>pdc_exempt</t>
        </is>
      </c>
      <c r="K54" s="9" t="inlineStr">
        <is>
          <t>Yes</t>
        </is>
      </c>
      <c r="L54" s="9" t="inlineStr">
        <is>
          <t>Typed.</t>
        </is>
      </c>
      <c r="M54" s="9" t="n"/>
      <c r="N54" s="9" t="n"/>
      <c r="O54" s="9" t="n"/>
      <c r="P54" s="9" t="n"/>
    </row>
    <row r="55">
      <c r="A55" s="25" t="inlineStr">
        <is>
          <t>H · Agreement and sign-off</t>
        </is>
      </c>
      <c r="K55" s="6" t="n"/>
      <c r="L55" s="6" t="n"/>
      <c r="M55" s="6" t="n"/>
      <c r="N55" s="6" t="n"/>
      <c r="O55" s="6" t="n"/>
      <c r="P55" s="6" t="n"/>
    </row>
    <row r="56" ht="23" customHeight="1" s="23">
      <c r="A56" s="7" t="inlineStr">
        <is>
          <t>H-01</t>
        </is>
      </c>
      <c r="B56" s="8" t="inlineStr">
        <is>
          <t>Acknowledgement</t>
        </is>
      </c>
      <c r="C56" s="8" t="inlineStr">
        <is>
          <t>All participants have reviewed the completed work and agree the BOP is suitable for deployment</t>
        </is>
      </c>
      <c r="D56" s="8" t="inlineStr">
        <is>
          <t>checklist</t>
        </is>
      </c>
      <c r="E56" s="8" t="inlineStr">
        <is>
          <t>Tick</t>
        </is>
      </c>
      <c r="F56" s="8" t="inlineStr">
        <is>
          <t>Ticked</t>
        </is>
      </c>
      <c r="G56" s="8" t="inlineStr">
        <is>
          <t>No</t>
        </is>
      </c>
      <c r="H56" s="8" t="inlineStr">
        <is>
          <t>TSL</t>
        </is>
      </c>
      <c r="I56" s="8" t="inlineStr">
        <is>
          <t>Sign-off</t>
        </is>
      </c>
      <c r="J56" s="8" t="inlineStr">
        <is>
          <t>pdc_ack</t>
        </is>
      </c>
      <c r="K56" s="9" t="inlineStr">
        <is>
          <t>Yes</t>
        </is>
      </c>
      <c r="L56" s="9" t="inlineStr">
        <is>
          <t>Typed tick.</t>
        </is>
      </c>
      <c r="M56" s="9" t="n"/>
      <c r="N56" s="9" t="n"/>
      <c r="O56" s="9" t="n"/>
      <c r="P56" s="9" t="n"/>
    </row>
    <row r="57" ht="23" customHeight="1" s="23">
      <c r="A57" s="7" t="inlineStr">
        <is>
          <t>H-02</t>
        </is>
      </c>
      <c r="B57" s="8" t="inlineStr">
        <is>
          <t>Sign-off</t>
        </is>
      </c>
      <c r="C57" s="8" t="inlineStr">
        <is>
          <t>TSL — name and date</t>
        </is>
      </c>
      <c r="D57" s="8" t="inlineStr">
        <is>
          <t>checklist</t>
        </is>
      </c>
      <c r="E57" s="8" t="inlineStr">
        <is>
          <t>Typed name and date (for now: Dan, 12 Oct)</t>
        </is>
      </c>
      <c r="F57" s="8" t="inlineStr">
        <is>
          <t>Name and date given</t>
        </is>
      </c>
      <c r="G57" s="8" t="inlineStr">
        <is>
          <t>No</t>
        </is>
      </c>
      <c r="H57" s="8" t="inlineStr">
        <is>
          <t>TSL</t>
        </is>
      </c>
      <c r="I57" s="8" t="inlineStr">
        <is>
          <t>Sign-off</t>
        </is>
      </c>
      <c r="J57" s="8" t="inlineStr">
        <is>
          <t>pdc_so0_name, pdc_so0_date</t>
        </is>
      </c>
      <c r="K57" s="9" t="inlineStr">
        <is>
          <t>Yes</t>
        </is>
      </c>
      <c r="L57" s="9" t="inlineStr">
        <is>
          <t>Typed name and date, per Dan 12 Oct. The Help Centre's Plan Review tab (item 53) is where TSC verify the scope, not this sign-off; keep the two apart.</t>
        </is>
      </c>
      <c r="M57" s="9" t="n"/>
      <c r="N57" s="9" t="n"/>
      <c r="O57" s="9" t="n"/>
      <c r="P57" s="9" t="n"/>
    </row>
    <row r="58" ht="23" customHeight="1" s="23">
      <c r="A58" s="7" t="inlineStr">
        <is>
          <t>H-03</t>
        </is>
      </c>
      <c r="B58" s="8" t="inlineStr">
        <is>
          <t>Sign-off</t>
        </is>
      </c>
      <c r="C58" s="8" t="inlineStr">
        <is>
          <t>SS Supervisor — name and date</t>
        </is>
      </c>
      <c r="D58" s="8" t="inlineStr">
        <is>
          <t>checklist</t>
        </is>
      </c>
      <c r="E58" s="8" t="inlineStr">
        <is>
          <t>Typed name and date (for now: Dan, 12 Oct)</t>
        </is>
      </c>
      <c r="F58" s="8" t="inlineStr">
        <is>
          <t>Name and date given</t>
        </is>
      </c>
      <c r="G58" s="8" t="inlineStr">
        <is>
          <t>No</t>
        </is>
      </c>
      <c r="H58" s="8" t="inlineStr">
        <is>
          <t>SS Supervisor</t>
        </is>
      </c>
      <c r="I58" s="8" t="inlineStr">
        <is>
          <t>Sign-off</t>
        </is>
      </c>
      <c r="J58" s="8" t="inlineStr">
        <is>
          <t>pdc_so1_name, pdc_so1_date</t>
        </is>
      </c>
      <c r="K58" s="9" t="inlineStr">
        <is>
          <t>Yes</t>
        </is>
      </c>
      <c r="L58" s="9" t="inlineStr">
        <is>
          <t>As H-02.</t>
        </is>
      </c>
      <c r="M58" s="9" t="n"/>
      <c r="N58" s="9" t="n"/>
      <c r="O58" s="9" t="n"/>
      <c r="P58" s="9" t="n"/>
    </row>
    <row r="59" ht="23" customHeight="1" s="23">
      <c r="A59" s="7" t="inlineStr">
        <is>
          <t>H-04</t>
        </is>
      </c>
      <c r="B59" s="8" t="inlineStr">
        <is>
          <t>Sign-off</t>
        </is>
      </c>
      <c r="C59" s="8" t="inlineStr">
        <is>
          <t>Rig Manager — name and date</t>
        </is>
      </c>
      <c r="D59" s="8" t="inlineStr">
        <is>
          <t>checklist</t>
        </is>
      </c>
      <c r="E59" s="8" t="inlineStr">
        <is>
          <t>Typed name and date (for now: Dan, 12 Oct)</t>
        </is>
      </c>
      <c r="F59" s="8" t="inlineStr">
        <is>
          <t>Name and date given</t>
        </is>
      </c>
      <c r="G59" s="8" t="inlineStr">
        <is>
          <t>No</t>
        </is>
      </c>
      <c r="H59" s="8" t="inlineStr">
        <is>
          <t>Rig Manager</t>
        </is>
      </c>
      <c r="I59" s="8" t="inlineStr">
        <is>
          <t>Sign-off</t>
        </is>
      </c>
      <c r="J59" s="8" t="inlineStr">
        <is>
          <t>pdc_so2_name, pdc_so2_date</t>
        </is>
      </c>
      <c r="K59" s="9" t="inlineStr">
        <is>
          <t>Yes</t>
        </is>
      </c>
      <c r="L59" s="9" t="inlineStr">
        <is>
          <t>As H-02.</t>
        </is>
      </c>
      <c r="M59" s="9" t="n"/>
      <c r="N59" s="9" t="n"/>
      <c r="O59" s="9" t="n"/>
      <c r="P59" s="9" t="n"/>
    </row>
    <row r="60" ht="23" customHeight="1" s="23">
      <c r="A60" s="7" t="inlineStr">
        <is>
          <t>H-05</t>
        </is>
      </c>
      <c r="B60" s="8" t="inlineStr">
        <is>
          <t>Sign-off</t>
        </is>
      </c>
      <c r="C60" s="8" t="inlineStr">
        <is>
          <t>Operations Director — name and date</t>
        </is>
      </c>
      <c r="D60" s="8" t="inlineStr">
        <is>
          <t>checklist</t>
        </is>
      </c>
      <c r="E60" s="8" t="inlineStr">
        <is>
          <t>Typed name and date (for now: Dan, 12 Oct)</t>
        </is>
      </c>
      <c r="F60" s="8" t="inlineStr">
        <is>
          <t>Name and date given</t>
        </is>
      </c>
      <c r="G60" s="8" t="inlineStr">
        <is>
          <t>No</t>
        </is>
      </c>
      <c r="H60" s="8" t="inlineStr">
        <is>
          <t>Operations Director</t>
        </is>
      </c>
      <c r="I60" s="8" t="inlineStr">
        <is>
          <t>Sign-off</t>
        </is>
      </c>
      <c r="J60" s="8" t="inlineStr">
        <is>
          <t>pdc_so3_name, pdc_so3_date</t>
        </is>
      </c>
      <c r="K60" s="9" t="inlineStr">
        <is>
          <t>Yes</t>
        </is>
      </c>
      <c r="L60" s="9" t="inlineStr">
        <is>
          <t>As H-02.</t>
        </is>
      </c>
      <c r="M60" s="9" t="n"/>
      <c r="N60" s="9" t="n"/>
      <c r="O60" s="9" t="n"/>
      <c r="P60" s="9" t="n"/>
    </row>
    <row r="61" ht="34.5" customHeight="1" s="23">
      <c r="A61" s="7" t="inlineStr">
        <is>
          <t>H-06</t>
        </is>
      </c>
      <c r="B61" s="8" t="inlineStr">
        <is>
          <t>Sign-off</t>
        </is>
      </c>
      <c r="C61" s="8" t="inlineStr">
        <is>
          <t>Well Control Equipment Manager — name and date</t>
        </is>
      </c>
      <c r="D61" s="8" t="inlineStr">
        <is>
          <t>checklist</t>
        </is>
      </c>
      <c r="E61" s="8" t="inlineStr">
        <is>
          <t>Typed name and date (for now: Dan, 12 Oct)</t>
        </is>
      </c>
      <c r="F61" s="8" t="inlineStr">
        <is>
          <t>Name and date given</t>
        </is>
      </c>
      <c r="G61" s="8" t="inlineStr">
        <is>
          <t>No</t>
        </is>
      </c>
      <c r="H61" s="8" t="inlineStr">
        <is>
          <t>Well Control Equipment Manager</t>
        </is>
      </c>
      <c r="I61" s="8" t="inlineStr">
        <is>
          <t>Sign-off</t>
        </is>
      </c>
      <c r="J61" s="8" t="inlineStr">
        <is>
          <t>pdc_so4_name, pdc_so4_date</t>
        </is>
      </c>
      <c r="K61" s="9" t="inlineStr">
        <is>
          <t>Yes</t>
        </is>
      </c>
      <c r="L61" s="9" t="inlineStr">
        <is>
          <t>As H-02.</t>
        </is>
      </c>
      <c r="M61" s="9" t="n"/>
      <c r="N61" s="9" t="n"/>
      <c r="O61" s="9" t="n"/>
      <c r="P61" s="9" t="n"/>
    </row>
    <row r="62" ht="23" customHeight="1" s="23">
      <c r="A62" s="7" t="inlineStr">
        <is>
          <t>H-07</t>
        </is>
      </c>
      <c r="B62" s="8" t="inlineStr">
        <is>
          <t>Pre-deployment call</t>
        </is>
      </c>
      <c r="C62" s="8" t="inlineStr">
        <is>
          <t>Pre-deployment call held per directive; checklist reviewed with all parties before the BOP is run</t>
        </is>
      </c>
      <c r="D62" s="8" t="inlineStr">
        <is>
          <t>checklist</t>
        </is>
      </c>
      <c r="E62" s="8" t="inlineStr">
        <is>
          <t>Date / time of the call, attendees</t>
        </is>
      </c>
      <c r="F62" s="8" t="inlineStr">
        <is>
          <t>Call held</t>
        </is>
      </c>
      <c r="G62" s="8" t="inlineStr">
        <is>
          <t>No</t>
        </is>
      </c>
      <c r="H62" s="8" t="inlineStr">
        <is>
          <t>Rig Manager</t>
        </is>
      </c>
      <c r="I62" s="8" t="inlineStr">
        <is>
          <t>Before running</t>
        </is>
      </c>
      <c r="J62" s="8" t="inlineStr">
        <is>
          <t>(new — not in SSORT today)</t>
        </is>
      </c>
      <c r="K62" s="9" t="inlineStr">
        <is>
          <t>Yes</t>
        </is>
      </c>
      <c r="L62" s="9" t="inlineStr">
        <is>
          <t>Agreed as a line, and SACRED can record it: the pre-deployment call date, attendees and outcome posted from the Help Centre (the same page as the plan review), which also sends the "ready to run" notice to the Planning audience. The checklist snapshot at that moment is kept as the signed version.</t>
        </is>
      </c>
      <c r="M62" s="9" t="n"/>
      <c r="N62" s="9" t="n"/>
      <c r="O62" s="9" t="n"/>
      <c r="P62" s="9" t="n"/>
    </row>
    <row r="64">
      <c r="A64" t="inlineStr">
        <is>
          <t>Dashboard</t>
        </is>
      </c>
      <c r="C64" t="inlineStr">
        <is>
          <t>General (dashboard session, 12 Oct)</t>
        </is>
      </c>
      <c r="L64" t="inlineStr">
        <is>
          <t>1) Add a sixth state, "Pre-filled (confirm)": SACRED can populate a third of the lines from what it already holds (plan, progress, deferrals, break-ins, AAB register, precharge sheets, CBM posts, SSCE requests, rig visits), but a pre-filled answer is never Complete until the line's owner confirms it. 2) Evidence for D-01 to D-03 and C-02/C-03 already exists in the CBM inspection posts; linking them avoids photographing every packer twice. 3) One checklist per stack = one planId (Q1): the scanner keys everything by planId already. 4) The matrix state per line is what the scanner writes to pdc state and the BOP panel shows; DL-1 reads it back (not compulsory, Dan). 5) H-07 is where the "ready to run" notification fires.</t>
        </is>
      </c>
    </row>
  </sheetData>
  <autoFilter ref="A1:P62"/>
  <mergeCells count="8">
    <mergeCell ref="A31:J31"/>
    <mergeCell ref="A55:J55"/>
    <mergeCell ref="A35:J35"/>
    <mergeCell ref="A4:J4"/>
    <mergeCell ref="A26:J26"/>
    <mergeCell ref="A2:J2"/>
    <mergeCell ref="A52:J52"/>
    <mergeCell ref="A42:J42"/>
  </mergeCells>
  <dataValidations count="1">
    <dataValidation sqref="K2:K62 M2:M62 O2:O62" showDropDown="0" showInputMessage="0" showErrorMessage="0" allowBlank="1" type="list">
      <formula1>"Yes,No,Change"</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70"/>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4.5"/>
  <cols>
    <col width="8" customWidth="1" style="23" min="1" max="1"/>
    <col width="52" customWidth="1" style="23" min="2" max="2"/>
    <col width="16" customWidth="1" style="23" min="3" max="3"/>
    <col width="34" customWidth="1" style="23" min="4" max="4"/>
    <col width="16" customWidth="1" style="23" min="5" max="5"/>
    <col width="12" customWidth="1" style="23" min="6" max="6"/>
    <col width="34" customWidth="1" style="23" min="8" max="8"/>
    <col width="22" customWidth="1" style="23" min="9" max="9"/>
  </cols>
  <sheetData>
    <row r="1" ht="15.5" customHeight="1" s="23">
      <c r="A1" s="10" t="inlineStr">
        <is>
          <t>EXAMPLE — West Vela BOP1, 7 cavities (illustrative states only, not real data)</t>
        </is>
      </c>
    </row>
    <row r="2" ht="30" customHeight="1" s="23">
      <c r="A2" s="26" t="inlineStr">
        <is>
          <t>The matrix expanded for one stack: each "per cavity" / "per position" line becomes one row per cavity / position. States are examples showing "status as we go"; the summary on the right recalculates as states change.</t>
        </is>
      </c>
    </row>
    <row r="4">
      <c r="A4" s="11" t="inlineStr">
        <is>
          <t>Line</t>
        </is>
      </c>
      <c r="B4" s="11" t="inlineStr">
        <is>
          <t>Checklist line</t>
        </is>
      </c>
      <c r="C4" s="11" t="inlineStr">
        <is>
          <t>State</t>
        </is>
      </c>
      <c r="D4" s="11" t="inlineStr">
        <is>
          <t>Evidence</t>
        </is>
      </c>
      <c r="E4" s="11" t="inlineStr">
        <is>
          <t>Updated by</t>
        </is>
      </c>
      <c r="F4" s="11" t="inlineStr">
        <is>
          <t>Updated</t>
        </is>
      </c>
      <c r="H4" s="12" t="inlineStr">
        <is>
          <t>Progress (recalculates)</t>
        </is>
      </c>
    </row>
    <row r="5">
      <c r="A5" s="13" t="inlineStr">
        <is>
          <t>A-01</t>
        </is>
      </c>
      <c r="B5" s="8" t="inlineStr">
        <is>
          <t>Rig, well, BOP stack, date</t>
        </is>
      </c>
      <c r="C5" s="14" t="inlineStr">
        <is>
          <t>Complete</t>
        </is>
      </c>
      <c r="D5" s="13" t="inlineStr">
        <is>
          <t>From the plan</t>
        </is>
      </c>
      <c r="E5" s="13" t="inlineStr">
        <is>
          <t>Plan</t>
        </is>
      </c>
      <c r="F5" s="13" t="inlineStr">
        <is>
          <t>05-Oct</t>
        </is>
      </c>
      <c r="H5" s="15" t="inlineStr">
        <is>
          <t>Not started</t>
        </is>
      </c>
      <c r="I5" s="15">
        <f>COUNTIF($C$5:$C$70,H5)</f>
        <v/>
      </c>
    </row>
    <row r="6" ht="23" customHeight="1" s="23">
      <c r="A6" s="13" t="inlineStr">
        <is>
          <t>B-01</t>
        </is>
      </c>
      <c r="B6" s="8" t="inlineStr">
        <is>
          <t>Has the BTW maintenance been completed within the projected timeline?</t>
        </is>
      </c>
      <c r="C6" s="14" t="inlineStr">
        <is>
          <t>Complete</t>
        </is>
      </c>
      <c r="D6" s="13" t="n"/>
      <c r="E6" s="13" t="inlineStr">
        <is>
          <t>SS Supervisor</t>
        </is>
      </c>
      <c r="F6" s="13" t="n"/>
      <c r="H6" s="15" t="inlineStr">
        <is>
          <t>In progress</t>
        </is>
      </c>
      <c r="I6" s="15">
        <f>COUNTIF($C$5:$C$70,H6)</f>
        <v/>
      </c>
    </row>
    <row r="7">
      <c r="A7" s="13" t="inlineStr">
        <is>
          <t>B-02</t>
        </is>
      </c>
      <c r="B7" s="8" t="inlineStr">
        <is>
          <t>Was any break-in work required during the maintenance period?</t>
        </is>
      </c>
      <c r="C7" s="14" t="inlineStr">
        <is>
          <t>Complete</t>
        </is>
      </c>
      <c r="D7" s="13" t="n"/>
      <c r="E7" s="13" t="inlineStr">
        <is>
          <t>SS Supervisor</t>
        </is>
      </c>
      <c r="F7" s="13" t="n"/>
      <c r="H7" s="15" t="inlineStr">
        <is>
          <t>Complete</t>
        </is>
      </c>
      <c r="I7" s="15">
        <f>COUNTIF($C$5:$C$70,H7)</f>
        <v/>
      </c>
    </row>
    <row r="8" ht="23" customHeight="1" s="23">
      <c r="A8" s="13" t="inlineStr">
        <is>
          <t>B-03</t>
        </is>
      </c>
      <c r="B8" s="8" t="inlineStr">
        <is>
          <t>Have all CM's and known deficiencies been repaired with corresponding …</t>
        </is>
      </c>
      <c r="C8" s="14" t="inlineStr">
        <is>
          <t>In progress</t>
        </is>
      </c>
      <c r="D8" s="13" t="n"/>
      <c r="E8" s="13" t="inlineStr">
        <is>
          <t>SS Supervisor</t>
        </is>
      </c>
      <c r="F8" s="13" t="n"/>
      <c r="H8" s="15" t="inlineStr">
        <is>
          <t>Evidence linked</t>
        </is>
      </c>
      <c r="I8" s="15">
        <f>COUNTIF($C$5:$C$70,H8)</f>
        <v/>
      </c>
    </row>
    <row r="9" ht="23" customHeight="1" s="23">
      <c r="A9" s="13" t="inlineStr">
        <is>
          <t>B-04</t>
        </is>
      </c>
      <c r="B9" s="8" t="inlineStr">
        <is>
          <t>Have there been any modifications or upgrades made during the maintena…</t>
        </is>
      </c>
      <c r="C9" s="14" t="inlineStr">
        <is>
          <t>Not started</t>
        </is>
      </c>
      <c r="D9" s="13" t="n"/>
      <c r="E9" s="13" t="inlineStr">
        <is>
          <t>SS Supervisor</t>
        </is>
      </c>
      <c r="F9" s="13" t="n"/>
      <c r="H9" s="15" t="inlineStr">
        <is>
          <t>N/A (reason)</t>
        </is>
      </c>
      <c r="I9" s="15">
        <f>COUNTIF($C$5:$C$70,H9)</f>
        <v/>
      </c>
    </row>
    <row r="10">
      <c r="A10" s="13" t="inlineStr">
        <is>
          <t>B-05</t>
        </is>
      </c>
      <c r="B10" s="8" t="inlineStr">
        <is>
          <t>Is there an approved riser analysis and WSOG available?</t>
        </is>
      </c>
      <c r="C10" s="14" t="inlineStr">
        <is>
          <t>Complete</t>
        </is>
      </c>
      <c r="D10" s="13" t="n"/>
      <c r="E10" s="13" t="inlineStr">
        <is>
          <t>SS Supervisor</t>
        </is>
      </c>
      <c r="F10" s="13" t="n"/>
      <c r="H10" s="16" t="inlineStr">
        <is>
          <t>Lines in total</t>
        </is>
      </c>
      <c r="I10" s="16">
        <f>COUNTA($C$5:$C$70)</f>
        <v/>
      </c>
    </row>
    <row r="11" ht="23" customHeight="1" s="23">
      <c r="A11" s="13" t="inlineStr">
        <is>
          <t>B-06</t>
        </is>
      </c>
      <c r="B11" s="8" t="inlineStr">
        <is>
          <t>Have all subsea accumulators been pre-charged to the pressures as per …</t>
        </is>
      </c>
      <c r="C11" s="14" t="inlineStr">
        <is>
          <t>N/A (reason)</t>
        </is>
      </c>
      <c r="D11" s="13" t="n"/>
      <c r="E11" s="13" t="inlineStr">
        <is>
          <t>SS Supervisor</t>
        </is>
      </c>
      <c r="F11" s="13" t="n"/>
      <c r="H11" s="16" t="inlineStr">
        <is>
          <t>Done (complete, evidence linked or N/A)</t>
        </is>
      </c>
      <c r="I11" s="17">
        <f>IF(I10=0,0,(I7+I8+I9)/I10)</f>
        <v/>
      </c>
    </row>
    <row r="12">
      <c r="A12" s="13" t="inlineStr">
        <is>
          <t>B-07</t>
        </is>
      </c>
      <c r="B12" s="8" t="inlineStr">
        <is>
          <t>Is a BOP hop planned during the deployment?</t>
        </is>
      </c>
      <c r="C12" s="14" t="inlineStr">
        <is>
          <t>Complete</t>
        </is>
      </c>
      <c r="D12" s="13" t="n"/>
      <c r="E12" s="13" t="inlineStr">
        <is>
          <t>SS Supervisor</t>
        </is>
      </c>
      <c r="F12" s="13" t="n"/>
      <c r="H12" s="16" t="inlineStr">
        <is>
          <t>Ready to sign?</t>
        </is>
      </c>
      <c r="I12" s="16">
        <f>IF(I5+I6=0,"YES — all lines closed","NO — "&amp;(I5+I6)&amp;" lines open")</f>
        <v/>
      </c>
    </row>
    <row r="13" ht="23" customHeight="1" s="23">
      <c r="A13" s="13" t="inlineStr">
        <is>
          <t>B-08</t>
        </is>
      </c>
      <c r="B13" s="8" t="inlineStr">
        <is>
          <t>What is the inclination and the diameter of the High Press Wellhead Ho…</t>
        </is>
      </c>
      <c r="C13" s="14" t="inlineStr">
        <is>
          <t>Complete</t>
        </is>
      </c>
      <c r="D13" s="13" t="n"/>
      <c r="E13" s="13" t="inlineStr">
        <is>
          <t>SS Supervisor</t>
        </is>
      </c>
      <c r="F13" s="13" t="n"/>
    </row>
    <row r="14" ht="23" customHeight="1" s="23">
      <c r="A14" s="13" t="inlineStr">
        <is>
          <t>B-09</t>
        </is>
      </c>
      <c r="B14" s="8" t="inlineStr">
        <is>
          <t>Has the BOP control cycle count been re-set? If a dual stack and stack…</t>
        </is>
      </c>
      <c r="C14" s="14" t="inlineStr">
        <is>
          <t>In progress</t>
        </is>
      </c>
      <c r="D14" s="13" t="n"/>
      <c r="E14" s="13" t="inlineStr">
        <is>
          <t>SS Supervisor</t>
        </is>
      </c>
      <c r="F14" s="13" t="n"/>
      <c r="H14" s="18" t="inlineStr">
        <is>
          <t>Rule: signing opens only when no line is Not started or In progress (States sheet).</t>
        </is>
      </c>
    </row>
    <row r="15">
      <c r="A15" s="13" t="inlineStr">
        <is>
          <t>B-10</t>
        </is>
      </c>
      <c r="B15" s="8" t="inlineStr">
        <is>
          <t>Have any of the main wellbore elastomers been changed out?</t>
        </is>
      </c>
      <c r="C15" s="14" t="inlineStr">
        <is>
          <t>Not started</t>
        </is>
      </c>
      <c r="D15" s="13" t="n"/>
      <c r="E15" s="13" t="inlineStr">
        <is>
          <t>SS Supervisor</t>
        </is>
      </c>
      <c r="F15" s="13" t="n"/>
    </row>
    <row r="16" ht="23" customHeight="1" s="23">
      <c r="A16" s="13" t="inlineStr">
        <is>
          <t>B-11</t>
        </is>
      </c>
      <c r="B16" s="8" t="inlineStr">
        <is>
          <t>Is the subsea team aware of testing requirements during the BOP deploy…</t>
        </is>
      </c>
      <c r="C16" s="14" t="inlineStr">
        <is>
          <t>Complete</t>
        </is>
      </c>
      <c r="D16" s="13" t="n"/>
      <c r="E16" s="13" t="inlineStr">
        <is>
          <t>SS Supervisor</t>
        </is>
      </c>
      <c r="F16" s="13" t="n"/>
    </row>
    <row r="17">
      <c r="A17" s="13" t="inlineStr">
        <is>
          <t>B-12</t>
        </is>
      </c>
      <c r="B17" s="8" t="inlineStr">
        <is>
          <t>Is the BOP control system clear of all alarms and faults?</t>
        </is>
      </c>
      <c r="C17" s="14" t="inlineStr">
        <is>
          <t>N/A (reason)</t>
        </is>
      </c>
      <c r="D17" s="13" t="n"/>
      <c r="E17" s="13" t="inlineStr">
        <is>
          <t>SS Supervisor</t>
        </is>
      </c>
      <c r="F17" s="13" t="n"/>
    </row>
    <row r="18" ht="23" customHeight="1" s="23">
      <c r="A18" s="13" t="inlineStr">
        <is>
          <t>B-13</t>
        </is>
      </c>
      <c r="B18" s="8" t="inlineStr">
        <is>
          <t>Are the Electrical and Marine departments aware of the requirements an…</t>
        </is>
      </c>
      <c r="C18" s="14" t="inlineStr">
        <is>
          <t>Complete</t>
        </is>
      </c>
      <c r="D18" s="13" t="n"/>
      <c r="E18" s="13" t="inlineStr">
        <is>
          <t>SS Supervisor</t>
        </is>
      </c>
      <c r="F18" s="13" t="n"/>
    </row>
    <row r="19" ht="23" customHeight="1" s="23">
      <c r="A19" s="13" t="inlineStr">
        <is>
          <t>B-14</t>
        </is>
      </c>
      <c r="B19" s="8" t="inlineStr">
        <is>
          <t>Are the rig team aware of the importance to monitor Mux cables at all …</t>
        </is>
      </c>
      <c r="C19" s="14" t="inlineStr">
        <is>
          <t>Complete</t>
        </is>
      </c>
      <c r="D19" s="13" t="n"/>
      <c r="E19" s="13" t="inlineStr">
        <is>
          <t>SS Supervisor</t>
        </is>
      </c>
      <c r="F19" s="13" t="n"/>
    </row>
    <row r="20" ht="23" customHeight="1" s="23">
      <c r="A20" s="13" t="inlineStr">
        <is>
          <t>B-15</t>
        </is>
      </c>
      <c r="B20" s="8" t="inlineStr">
        <is>
          <t>Are the Subsea team following requirements as per TB-WCE-73 (AAB C1007…</t>
        </is>
      </c>
      <c r="C20" s="14" t="inlineStr">
        <is>
          <t>In progress</t>
        </is>
      </c>
      <c r="D20" s="13" t="n"/>
      <c r="E20" s="13" t="inlineStr">
        <is>
          <t>SS Supervisor</t>
        </is>
      </c>
      <c r="F20" s="13" t="n"/>
    </row>
    <row r="21" ht="23" customHeight="1" s="23">
      <c r="A21" s="13" t="inlineStr">
        <is>
          <t>B-16</t>
        </is>
      </c>
      <c r="B21" s="8" t="inlineStr">
        <is>
          <t>During the maintenance period was there a need to urgently transfer/sh…</t>
        </is>
      </c>
      <c r="C21" s="14" t="inlineStr">
        <is>
          <t>Not started</t>
        </is>
      </c>
      <c r="D21" s="13" t="n"/>
      <c r="E21" s="13" t="inlineStr">
        <is>
          <t>SS Supervisor</t>
        </is>
      </c>
      <c r="F21" s="13" t="n"/>
    </row>
    <row r="22">
      <c r="A22" s="13" t="inlineStr">
        <is>
          <t>B-17</t>
        </is>
      </c>
      <c r="B22" s="8" t="inlineStr">
        <is>
          <t>Are there any overdue AAB's relevant to Well Control?</t>
        </is>
      </c>
      <c r="C22" s="14" t="inlineStr">
        <is>
          <t>Complete</t>
        </is>
      </c>
      <c r="D22" s="13" t="n"/>
      <c r="E22" s="13" t="inlineStr">
        <is>
          <t>SS Supervisor</t>
        </is>
      </c>
      <c r="F22" s="13" t="n"/>
    </row>
    <row r="23">
      <c r="A23" s="13" t="inlineStr">
        <is>
          <t>B-18</t>
        </is>
      </c>
      <c r="B23" s="8" t="inlineStr">
        <is>
          <t>Is there sufficient riser torque tools available with sufficient spare…</t>
        </is>
      </c>
      <c r="C23" s="14" t="inlineStr">
        <is>
          <t>N/A (reason)</t>
        </is>
      </c>
      <c r="D23" s="13" t="n"/>
      <c r="E23" s="13" t="inlineStr">
        <is>
          <t>SS Supervisor</t>
        </is>
      </c>
      <c r="F23" s="13" t="n"/>
    </row>
    <row r="24" ht="23" customHeight="1" s="23">
      <c r="A24" s="13" t="inlineStr">
        <is>
          <t>B-19</t>
        </is>
      </c>
      <c r="B24" s="8" t="inlineStr">
        <is>
          <t>Has the BOP handling equipment been function tested and is there any k…</t>
        </is>
      </c>
      <c r="C24" s="14" t="inlineStr">
        <is>
          <t>Complete</t>
        </is>
      </c>
      <c r="D24" s="13" t="n"/>
      <c r="E24" s="13" t="inlineStr">
        <is>
          <t>SS Supervisor</t>
        </is>
      </c>
      <c r="F24" s="13" t="n"/>
    </row>
    <row r="25" ht="23" customHeight="1" s="23">
      <c r="A25" s="13" t="inlineStr">
        <is>
          <t>B-20</t>
        </is>
      </c>
      <c r="B25" s="8" t="inlineStr">
        <is>
          <t>Was someone from TSC well control equipment group onboard to assist du…</t>
        </is>
      </c>
      <c r="C25" s="14" t="inlineStr">
        <is>
          <t>Complete</t>
        </is>
      </c>
      <c r="D25" s="13" t="n"/>
      <c r="E25" s="13" t="inlineStr">
        <is>
          <t>SS Supervisor</t>
        </is>
      </c>
      <c r="F25" s="13" t="n"/>
    </row>
    <row r="26">
      <c r="A26" s="13" t="inlineStr">
        <is>
          <t>B-M1</t>
        </is>
      </c>
      <c r="B26" s="8" t="inlineStr">
        <is>
          <t>Are any milling operations planned in the upcoming drilling program?</t>
        </is>
      </c>
      <c r="C26" s="14" t="inlineStr">
        <is>
          <t>In progress</t>
        </is>
      </c>
      <c r="D26" s="13" t="n"/>
      <c r="E26" s="13" t="inlineStr">
        <is>
          <t>SS Supervisor</t>
        </is>
      </c>
      <c r="F26" s="13" t="n"/>
    </row>
    <row r="27">
      <c r="A27" s="13" t="inlineStr">
        <is>
          <t>C-01</t>
        </is>
      </c>
      <c r="B27" s="8" t="inlineStr">
        <is>
          <t>BOP designation, manufacturer, cavities, status</t>
        </is>
      </c>
      <c r="C27" s="14" t="inlineStr">
        <is>
          <t>Complete</t>
        </is>
      </c>
      <c r="D27" s="13" t="n"/>
      <c r="E27" s="13" t="inlineStr">
        <is>
          <t>SS Supervisor</t>
        </is>
      </c>
      <c r="F27" s="13" t="inlineStr">
        <is>
          <t>05-Oct</t>
        </is>
      </c>
    </row>
    <row r="28">
      <c r="A28" s="13" t="inlineStr">
        <is>
          <t>C-02</t>
        </is>
      </c>
      <c r="B28" s="8" t="inlineStr">
        <is>
          <t>Stack table — UA</t>
        </is>
      </c>
      <c r="C28" s="14" t="inlineStr">
        <is>
          <t>Complete</t>
        </is>
      </c>
      <c r="D28" s="13" t="n"/>
      <c r="E28" s="13" t="inlineStr">
        <is>
          <t>SS Engineer</t>
        </is>
      </c>
      <c r="F28" s="13" t="n"/>
    </row>
    <row r="29">
      <c r="A29" s="13" t="inlineStr">
        <is>
          <t>C-02</t>
        </is>
      </c>
      <c r="B29" s="8" t="inlineStr">
        <is>
          <t>Stack table — RC</t>
        </is>
      </c>
      <c r="C29" s="14" t="inlineStr">
        <is>
          <t>Complete</t>
        </is>
      </c>
      <c r="D29" s="13" t="n"/>
      <c r="E29" s="13" t="inlineStr">
        <is>
          <t>SS Engineer</t>
        </is>
      </c>
      <c r="F29" s="13" t="n"/>
    </row>
    <row r="30">
      <c r="A30" s="13" t="inlineStr">
        <is>
          <t>C-02</t>
        </is>
      </c>
      <c r="B30" s="8" t="inlineStr">
        <is>
          <t>Stack table — LA</t>
        </is>
      </c>
      <c r="C30" s="14" t="inlineStr">
        <is>
          <t>Complete</t>
        </is>
      </c>
      <c r="D30" s="13" t="n"/>
      <c r="E30" s="13" t="inlineStr">
        <is>
          <t>SS Engineer</t>
        </is>
      </c>
      <c r="F30" s="13" t="n"/>
    </row>
    <row r="31">
      <c r="A31" s="13" t="inlineStr">
        <is>
          <t>C-03</t>
        </is>
      </c>
      <c r="B31" s="8" t="inlineStr">
        <is>
          <t>Stack table — UBSR</t>
        </is>
      </c>
      <c r="C31" s="14" t="inlineStr">
        <is>
          <t>In progress</t>
        </is>
      </c>
      <c r="D31" s="13" t="n"/>
      <c r="E31" s="13" t="inlineStr">
        <is>
          <t>SS Engineer</t>
        </is>
      </c>
      <c r="F31" s="13" t="n"/>
    </row>
    <row r="32">
      <c r="A32" s="13" t="inlineStr">
        <is>
          <t>C-03</t>
        </is>
      </c>
      <c r="B32" s="8" t="inlineStr">
        <is>
          <t>Stack table — CSR</t>
        </is>
      </c>
      <c r="C32" s="14" t="inlineStr">
        <is>
          <t>In progress</t>
        </is>
      </c>
      <c r="D32" s="13" t="n"/>
      <c r="E32" s="13" t="inlineStr">
        <is>
          <t>SS Engineer</t>
        </is>
      </c>
      <c r="F32" s="13" t="n"/>
    </row>
    <row r="33">
      <c r="A33" s="13" t="inlineStr">
        <is>
          <t>C-03</t>
        </is>
      </c>
      <c r="B33" s="8" t="inlineStr">
        <is>
          <t>Stack table — LBSR</t>
        </is>
      </c>
      <c r="C33" s="14" t="inlineStr">
        <is>
          <t>In progress</t>
        </is>
      </c>
      <c r="D33" s="13" t="n"/>
      <c r="E33" s="13" t="inlineStr">
        <is>
          <t>SS Engineer</t>
        </is>
      </c>
      <c r="F33" s="13" t="n"/>
    </row>
    <row r="34">
      <c r="A34" s="13" t="inlineStr">
        <is>
          <t>C-03</t>
        </is>
      </c>
      <c r="B34" s="8" t="inlineStr">
        <is>
          <t>Stack table — UPR</t>
        </is>
      </c>
      <c r="C34" s="14" t="inlineStr">
        <is>
          <t>In progress</t>
        </is>
      </c>
      <c r="D34" s="13" t="n"/>
      <c r="E34" s="13" t="inlineStr">
        <is>
          <t>SS Engineer</t>
        </is>
      </c>
      <c r="F34" s="13" t="n"/>
    </row>
    <row r="35">
      <c r="A35" s="13" t="inlineStr">
        <is>
          <t>C-03</t>
        </is>
      </c>
      <c r="B35" s="8" t="inlineStr">
        <is>
          <t>Stack table — MPR</t>
        </is>
      </c>
      <c r="C35" s="14" t="inlineStr">
        <is>
          <t>In progress</t>
        </is>
      </c>
      <c r="D35" s="13" t="n"/>
      <c r="E35" s="13" t="inlineStr">
        <is>
          <t>SS Engineer</t>
        </is>
      </c>
      <c r="F35" s="13" t="n"/>
    </row>
    <row r="36">
      <c r="A36" s="13" t="inlineStr">
        <is>
          <t>C-03</t>
        </is>
      </c>
      <c r="B36" s="8" t="inlineStr">
        <is>
          <t>Stack table — LPR</t>
        </is>
      </c>
      <c r="C36" s="14" t="inlineStr">
        <is>
          <t>In progress</t>
        </is>
      </c>
      <c r="D36" s="13" t="n"/>
      <c r="E36" s="13" t="inlineStr">
        <is>
          <t>SS Engineer</t>
        </is>
      </c>
      <c r="F36" s="13" t="n"/>
    </row>
    <row r="37">
      <c r="A37" s="13" t="inlineStr">
        <is>
          <t>C-03</t>
        </is>
      </c>
      <c r="B37" s="8" t="inlineStr">
        <is>
          <t>Stack table — TPR</t>
        </is>
      </c>
      <c r="C37" s="14" t="inlineStr">
        <is>
          <t>In progress</t>
        </is>
      </c>
      <c r="D37" s="13" t="n"/>
      <c r="E37" s="13" t="inlineStr">
        <is>
          <t>SS Engineer</t>
        </is>
      </c>
      <c r="F37" s="13" t="n"/>
    </row>
    <row r="38">
      <c r="A38" s="13" t="inlineStr">
        <is>
          <t>C-02</t>
        </is>
      </c>
      <c r="B38" s="8" t="inlineStr">
        <is>
          <t>Stack table — WHC</t>
        </is>
      </c>
      <c r="C38" s="14" t="inlineStr">
        <is>
          <t>In progress</t>
        </is>
      </c>
      <c r="D38" s="13" t="n"/>
      <c r="E38" s="13" t="inlineStr">
        <is>
          <t>SS Engineer</t>
        </is>
      </c>
      <c r="F38" s="13" t="n"/>
    </row>
    <row r="39">
      <c r="A39" s="13" t="inlineStr">
        <is>
          <t>C-04</t>
        </is>
      </c>
      <c r="B39" s="8" t="inlineStr">
        <is>
          <t>Ram packers installed and orientation confirmed</t>
        </is>
      </c>
      <c r="C39" s="14" t="inlineStr">
        <is>
          <t>Not started</t>
        </is>
      </c>
      <c r="D39" s="13" t="n"/>
      <c r="E39" s="13" t="inlineStr">
        <is>
          <t>SS Supervisor</t>
        </is>
      </c>
      <c r="F39" s="13" t="n"/>
    </row>
    <row r="40" ht="23" customHeight="1" s="23">
      <c r="A40" s="13" t="inlineStr">
        <is>
          <t>D-01..03</t>
        </is>
      </c>
      <c r="B40" s="8" t="inlineStr">
        <is>
          <t>Photographs — UBSR (ram packer, cavity face, door face; FWD + AFT)</t>
        </is>
      </c>
      <c r="C40" s="14" t="inlineStr">
        <is>
          <t>Complete</t>
        </is>
      </c>
      <c r="D40" s="13" t="inlineStr">
        <is>
          <t>6 of 6 photographs</t>
        </is>
      </c>
      <c r="E40" s="13" t="inlineStr">
        <is>
          <t>SS Engineer</t>
        </is>
      </c>
      <c r="F40" s="13" t="n"/>
    </row>
    <row r="41" ht="23" customHeight="1" s="23">
      <c r="A41" s="13" t="inlineStr">
        <is>
          <t>D-01..03</t>
        </is>
      </c>
      <c r="B41" s="8" t="inlineStr">
        <is>
          <t>Photographs — CSR (ram packer, cavity face, door face; FWD + AFT)</t>
        </is>
      </c>
      <c r="C41" s="14" t="inlineStr">
        <is>
          <t>Complete</t>
        </is>
      </c>
      <c r="D41" s="13" t="inlineStr">
        <is>
          <t>6 of 6 photographs</t>
        </is>
      </c>
      <c r="E41" s="13" t="inlineStr">
        <is>
          <t>SS Engineer</t>
        </is>
      </c>
      <c r="F41" s="13" t="n"/>
    </row>
    <row r="42" ht="23" customHeight="1" s="23">
      <c r="A42" s="13" t="inlineStr">
        <is>
          <t>D-01..03</t>
        </is>
      </c>
      <c r="B42" s="8" t="inlineStr">
        <is>
          <t>Photographs — LBSR (ram packer, cavity face, door face; FWD + AFT)</t>
        </is>
      </c>
      <c r="C42" s="14" t="inlineStr">
        <is>
          <t>Complete</t>
        </is>
      </c>
      <c r="D42" s="13" t="inlineStr">
        <is>
          <t>6 of 6 photographs</t>
        </is>
      </c>
      <c r="E42" s="13" t="inlineStr">
        <is>
          <t>SS Engineer</t>
        </is>
      </c>
      <c r="F42" s="13" t="n"/>
    </row>
    <row r="43" ht="23" customHeight="1" s="23">
      <c r="A43" s="13" t="inlineStr">
        <is>
          <t>D-01..03</t>
        </is>
      </c>
      <c r="B43" s="8" t="inlineStr">
        <is>
          <t>Photographs — UPR (ram packer, cavity face, door face; FWD + AFT)</t>
        </is>
      </c>
      <c r="C43" s="14" t="inlineStr">
        <is>
          <t>In progress</t>
        </is>
      </c>
      <c r="D43" s="13" t="inlineStr">
        <is>
          <t>3 of 6 photographs</t>
        </is>
      </c>
      <c r="E43" s="13" t="inlineStr">
        <is>
          <t>SS Engineer</t>
        </is>
      </c>
      <c r="F43" s="13" t="n"/>
    </row>
    <row r="44" ht="23" customHeight="1" s="23">
      <c r="A44" s="13" t="inlineStr">
        <is>
          <t>D-01..03</t>
        </is>
      </c>
      <c r="B44" s="8" t="inlineStr">
        <is>
          <t>Photographs — MPR (ram packer, cavity face, door face; FWD + AFT)</t>
        </is>
      </c>
      <c r="C44" s="14" t="inlineStr">
        <is>
          <t>In progress</t>
        </is>
      </c>
      <c r="D44" s="13" t="inlineStr">
        <is>
          <t>3 of 6 photographs</t>
        </is>
      </c>
      <c r="E44" s="13" t="inlineStr">
        <is>
          <t>SS Engineer</t>
        </is>
      </c>
      <c r="F44" s="13" t="n"/>
    </row>
    <row r="45" ht="23" customHeight="1" s="23">
      <c r="A45" s="13" t="inlineStr">
        <is>
          <t>D-01..03</t>
        </is>
      </c>
      <c r="B45" s="8" t="inlineStr">
        <is>
          <t>Photographs — LPR (ram packer, cavity face, door face; FWD + AFT)</t>
        </is>
      </c>
      <c r="C45" s="14" t="inlineStr">
        <is>
          <t>Not started</t>
        </is>
      </c>
      <c r="D45" s="13" t="inlineStr">
        <is>
          <t>0 of 6 photographs</t>
        </is>
      </c>
      <c r="E45" s="13" t="inlineStr">
        <is>
          <t>SS Engineer</t>
        </is>
      </c>
      <c r="F45" s="13" t="n"/>
    </row>
    <row r="46" ht="23" customHeight="1" s="23">
      <c r="A46" s="13" t="inlineStr">
        <is>
          <t>D-01..03</t>
        </is>
      </c>
      <c r="B46" s="8" t="inlineStr">
        <is>
          <t>Photographs — TPR (ram packer, cavity face, door face; FWD + AFT)</t>
        </is>
      </c>
      <c r="C46" s="14" t="inlineStr">
        <is>
          <t>Not started</t>
        </is>
      </c>
      <c r="D46" s="13" t="inlineStr">
        <is>
          <t>0 of 6 photographs</t>
        </is>
      </c>
      <c r="E46" s="13" t="inlineStr">
        <is>
          <t>SS Engineer</t>
        </is>
      </c>
      <c r="F46" s="13" t="n"/>
    </row>
    <row r="47">
      <c r="A47" s="13" t="inlineStr">
        <is>
          <t>F-01</t>
        </is>
      </c>
      <c r="B47" s="8" t="inlineStr">
        <is>
          <t>FUNCTION TEST</t>
        </is>
      </c>
      <c r="C47" s="14" t="inlineStr">
        <is>
          <t>Evidence linked</t>
        </is>
      </c>
      <c r="D47" s="13" t="inlineStr">
        <is>
          <t>SSORT Surface BOP Testing · BOP Function Test, linked</t>
        </is>
      </c>
      <c r="E47" s="13" t="inlineStr">
        <is>
          <t>SS Supervisor</t>
        </is>
      </c>
      <c r="F47" s="13" t="n"/>
    </row>
    <row r="48">
      <c r="A48" s="13" t="inlineStr">
        <is>
          <t>F-02</t>
        </is>
      </c>
      <c r="B48" s="8" t="inlineStr">
        <is>
          <t>SOAK</t>
        </is>
      </c>
      <c r="C48" s="14" t="inlineStr">
        <is>
          <t>Evidence linked</t>
        </is>
      </c>
      <c r="D48" s="13" t="inlineStr">
        <is>
          <t>SSORT · Soak Test, linked</t>
        </is>
      </c>
      <c r="E48" s="13" t="inlineStr">
        <is>
          <t>SS Supervisor</t>
        </is>
      </c>
      <c r="F48" s="13" t="n"/>
    </row>
    <row r="49">
      <c r="A49" s="13" t="inlineStr">
        <is>
          <t>F-03</t>
        </is>
      </c>
      <c r="B49" s="8" t="inlineStr">
        <is>
          <t>DRAWDOWN</t>
        </is>
      </c>
      <c r="C49" s="14" t="inlineStr">
        <is>
          <t>Not started</t>
        </is>
      </c>
      <c r="D49" s="13" t="inlineStr">
        <is>
          <t>SSORT · Surface Drawdown Test, linked</t>
        </is>
      </c>
      <c r="E49" s="13" t="inlineStr">
        <is>
          <t>SS Supervisor</t>
        </is>
      </c>
      <c r="F49" s="13" t="n"/>
    </row>
    <row r="50">
      <c r="A50" s="13" t="inlineStr">
        <is>
          <t>F-04</t>
        </is>
      </c>
      <c r="B50" s="8" t="inlineStr">
        <is>
          <t>ACOUSTIC</t>
        </is>
      </c>
      <c r="C50" s="14" t="inlineStr">
        <is>
          <t>N/A (reason)</t>
        </is>
      </c>
      <c r="D50" s="13" t="inlineStr">
        <is>
          <t>No acoustic system on West Vela</t>
        </is>
      </c>
      <c r="E50" s="13" t="inlineStr">
        <is>
          <t>SS Supervisor</t>
        </is>
      </c>
      <c r="F50" s="13" t="n"/>
    </row>
    <row r="51">
      <c r="A51" s="13" t="inlineStr">
        <is>
          <t>F-05</t>
        </is>
      </c>
      <c r="B51" s="8" t="inlineStr">
        <is>
          <t>ROV</t>
        </is>
      </c>
      <c r="C51" s="14" t="inlineStr">
        <is>
          <t>Not started</t>
        </is>
      </c>
      <c r="D51" s="13" t="inlineStr">
        <is>
          <t>SSORT · ROV Function Testing, linked</t>
        </is>
      </c>
      <c r="E51" s="13" t="inlineStr">
        <is>
          <t>SS Supervisor</t>
        </is>
      </c>
      <c r="F51" s="13" t="n"/>
    </row>
    <row r="52">
      <c r="A52" s="13" t="inlineStr">
        <is>
          <t>F-06</t>
        </is>
      </c>
      <c r="B52" s="8" t="inlineStr">
        <is>
          <t>EDS</t>
        </is>
      </c>
      <c r="C52" s="14" t="inlineStr">
        <is>
          <t>Not started</t>
        </is>
      </c>
      <c r="D52" s="13" t="inlineStr">
        <is>
          <t>SSORT · EDS Testing, linked</t>
        </is>
      </c>
      <c r="E52" s="13" t="inlineStr">
        <is>
          <t>SS Supervisor</t>
        </is>
      </c>
      <c r="F52" s="13" t="n"/>
    </row>
    <row r="53">
      <c r="A53" s="13" t="inlineStr">
        <is>
          <t>F-07</t>
        </is>
      </c>
      <c r="B53" s="8" t="inlineStr">
        <is>
          <t>EHBS</t>
        </is>
      </c>
      <c r="C53" s="14" t="inlineStr">
        <is>
          <t>Not started</t>
        </is>
      </c>
      <c r="D53" s="13" t="inlineStr">
        <is>
          <t>SSORT · EHBS Testing, linked</t>
        </is>
      </c>
      <c r="E53" s="13" t="inlineStr">
        <is>
          <t>SS Supervisor</t>
        </is>
      </c>
      <c r="F53" s="13" t="n"/>
    </row>
    <row r="54">
      <c r="A54" s="13" t="inlineStr">
        <is>
          <t>F-08</t>
        </is>
      </c>
      <c r="B54" s="8" t="inlineStr">
        <is>
          <t>PRESSURE TEST</t>
        </is>
      </c>
      <c r="C54" s="14" t="inlineStr">
        <is>
          <t>Evidence linked</t>
        </is>
      </c>
      <c r="D54" s="13" t="inlineStr">
        <is>
          <t>Test charts (digital or analogue) attached in the plan</t>
        </is>
      </c>
      <c r="E54" s="13" t="inlineStr">
        <is>
          <t>SS Supervisor</t>
        </is>
      </c>
      <c r="F54" s="13" t="n"/>
    </row>
    <row r="55">
      <c r="A55" s="13" t="inlineStr">
        <is>
          <t>F-09</t>
        </is>
      </c>
      <c r="B55" s="8" t="inlineStr">
        <is>
          <t>DRIFT</t>
        </is>
      </c>
      <c r="C55" s="14" t="inlineStr">
        <is>
          <t>Not started</t>
        </is>
      </c>
      <c r="D55" s="13" t="inlineStr">
        <is>
          <t>Drift record attached in the plan</t>
        </is>
      </c>
      <c r="E55" s="13" t="inlineStr">
        <is>
          <t>SS Supervisor</t>
        </is>
      </c>
      <c r="F55" s="13" t="n"/>
    </row>
    <row r="56">
      <c r="A56" s="13" t="inlineStr">
        <is>
          <t>E-01</t>
        </is>
      </c>
      <c r="B56" s="8" t="inlineStr">
        <is>
          <t>Electrical checks</t>
        </is>
      </c>
      <c r="C56" s="14" t="inlineStr">
        <is>
          <t>Not started</t>
        </is>
      </c>
      <c r="D56" s="13" t="n"/>
      <c r="E56" s="13" t="inlineStr">
        <is>
          <t>Electrical Supervisor</t>
        </is>
      </c>
      <c r="F56" s="13" t="n"/>
    </row>
    <row r="57">
      <c r="A57" s="13" t="inlineStr">
        <is>
          <t>E-02</t>
        </is>
      </c>
      <c r="B57" s="8" t="inlineStr">
        <is>
          <t>RARS relay</t>
        </is>
      </c>
      <c r="C57" s="14" t="inlineStr">
        <is>
          <t>Not started</t>
        </is>
      </c>
      <c r="D57" s="13" t="n"/>
      <c r="E57" s="13" t="inlineStr">
        <is>
          <t>Electrical Supervisor</t>
        </is>
      </c>
      <c r="F57" s="13" t="n"/>
    </row>
    <row r="58">
      <c r="A58" s="13" t="inlineStr">
        <is>
          <t>E-03</t>
        </is>
      </c>
      <c r="B58" s="8" t="inlineStr">
        <is>
          <t>RARS spades</t>
        </is>
      </c>
      <c r="C58" s="14" t="inlineStr">
        <is>
          <t>Not started</t>
        </is>
      </c>
      <c r="D58" s="13" t="n"/>
      <c r="E58" s="13" t="inlineStr">
        <is>
          <t>Electrical Supervisor</t>
        </is>
      </c>
      <c r="F58" s="13" t="n"/>
    </row>
    <row r="59">
      <c r="A59" s="13" t="inlineStr">
        <is>
          <t>E-04</t>
        </is>
      </c>
      <c r="B59" s="8" t="inlineStr">
        <is>
          <t>EWS pages</t>
        </is>
      </c>
      <c r="C59" s="14" t="inlineStr">
        <is>
          <t>Not started</t>
        </is>
      </c>
      <c r="D59" s="13" t="n"/>
      <c r="E59" s="13" t="inlineStr">
        <is>
          <t>Electrical Supervisor</t>
        </is>
      </c>
      <c r="F59" s="13" t="n"/>
    </row>
    <row r="60">
      <c r="A60" s="13" t="inlineStr">
        <is>
          <t>E-05</t>
        </is>
      </c>
      <c r="B60" s="8" t="inlineStr">
        <is>
          <t>IR screen</t>
        </is>
      </c>
      <c r="C60" s="14" t="inlineStr">
        <is>
          <t>Not started</t>
        </is>
      </c>
      <c r="D60" s="13" t="n"/>
      <c r="E60" s="13" t="inlineStr">
        <is>
          <t>Electrical Supervisor</t>
        </is>
      </c>
      <c r="F60" s="13" t="n"/>
    </row>
    <row r="61">
      <c r="A61" s="13" t="inlineStr">
        <is>
          <t>E-06</t>
        </is>
      </c>
      <c r="B61" s="8" t="inlineStr">
        <is>
          <t>Fibre signal</t>
        </is>
      </c>
      <c r="C61" s="14" t="inlineStr">
        <is>
          <t>Not started</t>
        </is>
      </c>
      <c r="D61" s="13" t="n"/>
      <c r="E61" s="13" t="inlineStr">
        <is>
          <t>Electrical Supervisor</t>
        </is>
      </c>
      <c r="F61" s="13" t="n"/>
    </row>
    <row r="62">
      <c r="A62" s="13" t="inlineStr">
        <is>
          <t>G-01</t>
        </is>
      </c>
      <c r="B62" s="8" t="inlineStr">
        <is>
          <t>Non-compliance / PMs</t>
        </is>
      </c>
      <c r="C62" s="14" t="inlineStr">
        <is>
          <t>Not started</t>
        </is>
      </c>
      <c r="D62" s="13" t="n"/>
      <c r="E62" s="13" t="inlineStr">
        <is>
          <t>TSL</t>
        </is>
      </c>
      <c r="F62" s="13" t="n"/>
    </row>
    <row r="63">
      <c r="A63" s="13" t="inlineStr">
        <is>
          <t>G-02</t>
        </is>
      </c>
      <c r="B63" s="8" t="inlineStr">
        <is>
          <t>Exemption comments</t>
        </is>
      </c>
      <c r="C63" s="14" t="inlineStr">
        <is>
          <t>Not started</t>
        </is>
      </c>
      <c r="D63" s="13" t="n"/>
      <c r="E63" s="13" t="inlineStr">
        <is>
          <t>TSL</t>
        </is>
      </c>
      <c r="F63" s="13" t="n"/>
    </row>
    <row r="64">
      <c r="A64" s="13" t="inlineStr">
        <is>
          <t>H-01</t>
        </is>
      </c>
      <c r="B64" s="8" t="inlineStr">
        <is>
          <t>Acknowledgement</t>
        </is>
      </c>
      <c r="C64" s="14" t="inlineStr">
        <is>
          <t>Not started</t>
        </is>
      </c>
      <c r="D64" s="13" t="n"/>
      <c r="E64" s="13" t="inlineStr">
        <is>
          <t>TSL</t>
        </is>
      </c>
      <c r="F64" s="13" t="n"/>
    </row>
    <row r="65">
      <c r="A65" s="13" t="inlineStr">
        <is>
          <t>H-02</t>
        </is>
      </c>
      <c r="B65" s="8" t="inlineStr">
        <is>
          <t>Sign-off — TSL</t>
        </is>
      </c>
      <c r="C65" s="14" t="inlineStr">
        <is>
          <t>Not started</t>
        </is>
      </c>
      <c r="D65" s="13" t="n"/>
      <c r="E65" s="13" t="inlineStr">
        <is>
          <t>TSL</t>
        </is>
      </c>
      <c r="F65" s="13" t="n"/>
    </row>
    <row r="66">
      <c r="A66" s="13" t="inlineStr">
        <is>
          <t>H-03</t>
        </is>
      </c>
      <c r="B66" s="8" t="inlineStr">
        <is>
          <t>Sign-off — SS Supervisor</t>
        </is>
      </c>
      <c r="C66" s="14" t="inlineStr">
        <is>
          <t>Not started</t>
        </is>
      </c>
      <c r="D66" s="13" t="n"/>
      <c r="E66" s="13" t="inlineStr">
        <is>
          <t>SS Supervisor</t>
        </is>
      </c>
      <c r="F66" s="13" t="n"/>
    </row>
    <row r="67">
      <c r="A67" s="13" t="inlineStr">
        <is>
          <t>H-04</t>
        </is>
      </c>
      <c r="B67" s="8" t="inlineStr">
        <is>
          <t>Sign-off — Rig Manager</t>
        </is>
      </c>
      <c r="C67" s="14" t="inlineStr">
        <is>
          <t>Not started</t>
        </is>
      </c>
      <c r="D67" s="13" t="n"/>
      <c r="E67" s="13" t="inlineStr">
        <is>
          <t>Rig Manager</t>
        </is>
      </c>
      <c r="F67" s="13" t="n"/>
    </row>
    <row r="68">
      <c r="A68" s="13" t="inlineStr">
        <is>
          <t>H-05</t>
        </is>
      </c>
      <c r="B68" s="8" t="inlineStr">
        <is>
          <t>Sign-off — Operations Director</t>
        </is>
      </c>
      <c r="C68" s="14" t="inlineStr">
        <is>
          <t>Not started</t>
        </is>
      </c>
      <c r="D68" s="13" t="n"/>
      <c r="E68" s="13" t="inlineStr">
        <is>
          <t>Operations Director</t>
        </is>
      </c>
      <c r="F68" s="13" t="n"/>
    </row>
    <row r="69">
      <c r="A69" s="13" t="inlineStr">
        <is>
          <t>H-06</t>
        </is>
      </c>
      <c r="B69" s="8" t="inlineStr">
        <is>
          <t>Sign-off — Well Control Equipment Manager</t>
        </is>
      </c>
      <c r="C69" s="14" t="inlineStr">
        <is>
          <t>Not started</t>
        </is>
      </c>
      <c r="D69" s="13" t="n"/>
      <c r="E69" s="13" t="inlineStr">
        <is>
          <t>Well Control Equipment Manager</t>
        </is>
      </c>
      <c r="F69" s="13" t="n"/>
    </row>
    <row r="70">
      <c r="A70" s="13" t="inlineStr">
        <is>
          <t>H-07</t>
        </is>
      </c>
      <c r="B70" s="8" t="inlineStr">
        <is>
          <t>Pre-deployment call per directive</t>
        </is>
      </c>
      <c r="C70" s="14" t="inlineStr">
        <is>
          <t>Not started</t>
        </is>
      </c>
      <c r="D70" s="13" t="n"/>
      <c r="E70" s="13" t="inlineStr">
        <is>
          <t>Rig Manager</t>
        </is>
      </c>
      <c r="F70" s="13" t="n"/>
    </row>
  </sheetData>
  <mergeCells count="1">
    <mergeCell ref="A2:F2"/>
  </mergeCells>
  <dataValidations count="1">
    <dataValidation sqref="C5:C70" showDropDown="0" showInputMessage="0" showErrorMessage="0" allowBlank="0" type="list">
      <formula1>"Not started,In progress,Complete,Evidence linked,N/A (reason)"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4.5"/>
  <cols>
    <col width="20" customWidth="1" style="23" min="1" max="1"/>
    <col width="90" customWidth="1" style="23" min="2" max="2"/>
    <col width="30" customWidth="1" style="23" min="3" max="3"/>
  </cols>
  <sheetData>
    <row r="1">
      <c r="A1" s="19" t="inlineStr">
        <is>
          <t>State</t>
        </is>
      </c>
      <c r="B1" s="19" t="inlineStr">
        <is>
          <t>Meaning</t>
        </is>
      </c>
      <c r="C1" s="19" t="inlineStr">
        <is>
          <t>Counts as closed for sign-off?</t>
        </is>
      </c>
    </row>
    <row r="2">
      <c r="A2" s="7" t="inlineStr">
        <is>
          <t>Not started</t>
        </is>
      </c>
      <c r="B2" s="8" t="inlineStr">
        <is>
          <t>Nothing recorded yet</t>
        </is>
      </c>
      <c r="C2" s="8" t="inlineStr">
        <is>
          <t>No</t>
        </is>
      </c>
    </row>
    <row r="3">
      <c r="A3" s="7" t="inlineStr">
        <is>
          <t>In progress</t>
        </is>
      </c>
      <c r="B3" s="8" t="inlineStr">
        <is>
          <t>Partly recorded (e.g. 3 of 6 photographs)</t>
        </is>
      </c>
      <c r="C3" s="8" t="inlineStr">
        <is>
          <t>No</t>
        </is>
      </c>
    </row>
    <row r="4">
      <c r="A4" s="7" t="inlineStr">
        <is>
          <t>Complete</t>
        </is>
      </c>
      <c r="B4" s="8" t="inlineStr">
        <is>
          <t>Recorded in full in the checklist</t>
        </is>
      </c>
      <c r="C4" s="8" t="inlineStr">
        <is>
          <t>Yes</t>
        </is>
      </c>
    </row>
    <row r="5">
      <c r="A5" s="7" t="inlineStr">
        <is>
          <t>Evidence linked</t>
        </is>
      </c>
      <c r="B5" s="8" t="inlineStr">
        <is>
          <t>A SSORT record or an attachment is linked as the evidence (surface tests)</t>
        </is>
      </c>
      <c r="C5" s="8" t="inlineStr">
        <is>
          <t>Yes</t>
        </is>
      </c>
    </row>
    <row r="6">
      <c r="A6" s="7" t="inlineStr">
        <is>
          <t>N/A (reason)</t>
        </is>
      </c>
      <c r="B6" s="8" t="inlineStr">
        <is>
          <t>Does not apply on this rig / stack, with the reason written (e.g. no acoustic system)</t>
        </is>
      </c>
      <c r="C6" s="8" t="inlineStr">
        <is>
          <t>Yes — the reason is listed at sign-off</t>
        </is>
      </c>
    </row>
    <row r="7">
      <c r="A7" s="20" t="n"/>
      <c r="B7" s="21" t="n"/>
      <c r="C7" s="21" t="n"/>
    </row>
    <row r="8" ht="34.5" customHeight="1" s="23">
      <c r="A8" s="7" t="inlineStr">
        <is>
          <t>Sign-off rule</t>
        </is>
      </c>
      <c r="B8" s="8" t="inlineStr">
        <is>
          <t>The checklist can be signed only when every line is Complete, Evidence linked or N/A (reason). Sign-off is the typed name and date of each of the five roles (for now). The checklist is then reviewed at the pre-deployment call held per directive before the BOP is run.</t>
        </is>
      </c>
      <c r="C8" s="21" t="n"/>
    </row>
    <row r="9" ht="23" customHeight="1" s="23">
      <c r="A9" s="7" t="inlineStr">
        <is>
          <t>Floor for "complete"</t>
        </is>
      </c>
      <c r="B9" s="8" t="inlineStr">
        <is>
          <t>Never less than SSORT's post gate today: designation set, cavities chosen, ram packers confirmed Yes, and cavities × 2 photographs in each of the three photograph sections.</t>
        </is>
      </c>
      <c r="C9" s="21"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4.5"/>
  <cols>
    <col width="4" customWidth="1" style="23" min="1" max="1"/>
    <col width="60" customWidth="1" style="23" min="2" max="2"/>
    <col width="18" customWidth="1" style="23" min="3" max="3"/>
    <col width="40" customWidth="1" style="23" min="4" max="4"/>
    <col width="26" customWidth="1" style="23" min="5" max="7"/>
  </cols>
  <sheetData>
    <row r="1">
      <c r="A1" s="19" t="inlineStr">
        <is>
          <t>#</t>
        </is>
      </c>
      <c r="B1" s="19" t="inlineStr">
        <is>
          <t>Question</t>
        </is>
      </c>
      <c r="C1" s="19" t="inlineStr">
        <is>
          <t>For</t>
        </is>
      </c>
      <c r="D1" s="19" t="inlineStr">
        <is>
          <t>Proposed answer</t>
        </is>
      </c>
      <c r="E1" s="19" t="inlineStr">
        <is>
          <t>Dashboard</t>
        </is>
      </c>
      <c r="F1" s="19" t="inlineStr">
        <is>
          <t>Dan</t>
        </is>
      </c>
      <c r="G1" s="19" t="inlineStr">
        <is>
          <t>Lee</t>
        </is>
      </c>
    </row>
    <row r="2" ht="23" customHeight="1" s="23">
      <c r="A2" s="8" t="n">
        <v>1</v>
      </c>
      <c r="B2" s="8" t="inlineStr">
        <is>
          <t>One checklist per stack on DL-1 (one plan per stack), where SSORT holds both stacks of a dual rig in one checklist?</t>
        </is>
      </c>
      <c r="C2" s="8" t="inlineStr">
        <is>
          <t>Lee, dashboard</t>
        </is>
      </c>
      <c r="D2" s="8" t="inlineStr">
        <is>
          <t>Yes: a DL-1 checklist is one stack; SSORT dual copies split by stack</t>
        </is>
      </c>
      <c r="E2" s="9" t="inlineStr">
        <is>
          <t>Yes. One plan per stack is already how DL-1 posts and how the scanner keys (planId = rig-BOP-date). A dual rig has two checklists; SSORT's dual copy splits by stack on link.</t>
        </is>
      </c>
      <c r="F2" s="9" t="n"/>
      <c r="G2" s="9" t="n"/>
    </row>
    <row r="3" ht="23" customHeight="1" s="23">
      <c r="A3" s="8" t="n">
        <v>2</v>
      </c>
      <c r="B3" s="8" t="inlineStr">
        <is>
          <t>Add a "slot" field to each photograph (e.g. "UBSR — FWD"), so the slot no longer depends on an editable caption?</t>
        </is>
      </c>
      <c r="C3" s="8" t="inlineStr">
        <is>
          <t>Lee, tools</t>
        </is>
      </c>
      <c r="D3" s="8" t="inlineStr">
        <is>
          <t>Yes, in both tools</t>
        </is>
      </c>
      <c r="E3" s="9" t="inlineStr">
        <is>
          <t>Yes, and in the plan too: the slot is the join key for a cavity photograph (UBSR-FWD), so the scanner can match a CBM photograph to a matrix row.</t>
        </is>
      </c>
      <c r="F3" s="9" t="n"/>
      <c r="G3" s="9" t="n"/>
    </row>
    <row r="4" ht="23" customHeight="1" s="23">
      <c r="A4" s="8" t="n">
        <v>3</v>
      </c>
      <c r="B4" s="8" t="inlineStr">
        <is>
          <t>Which lines may be N/A, and who may mark them?</t>
        </is>
      </c>
      <c r="C4" s="8" t="inlineStr">
        <is>
          <t>Dan, Lee</t>
        </is>
      </c>
      <c r="D4" s="8" t="inlineStr">
        <is>
          <t>As in the Matrix "N/A allowed?" column; marked by the line's owner, reason required</t>
        </is>
      </c>
      <c r="E4" s="9" t="inlineStr">
        <is>
          <t>As proposed. Add: SACRED may set N/A automatically where the rig has no such system (acoustic on Vela, Neptune, Louisiana), reason pre-filled, owner can override.</t>
        </is>
      </c>
      <c r="F4" s="9" t="n"/>
      <c r="G4" s="9" t="n"/>
    </row>
    <row r="5" ht="23" customHeight="1" s="23">
      <c r="A5" s="8" t="n">
        <v>4</v>
      </c>
      <c r="B5" s="8" t="inlineStr">
        <is>
          <t>Is H-07 (pre-deployment call per directive) a line on the checklist, recorded with date and attendees?</t>
        </is>
      </c>
      <c r="C5" s="8" t="inlineStr">
        <is>
          <t>Dan</t>
        </is>
      </c>
      <c r="D5" s="8" t="inlineStr">
        <is>
          <t>Yes — it closes the loop the sign-off opens</t>
        </is>
      </c>
      <c r="E5" s="9" t="inlineStr">
        <is>
          <t>Yes. Recorded from the Help Centre (date, attendees, outcome) and it fires the ready-to-run notification to the Planning audience; the checklist snapshot at that moment is the signed version.</t>
        </is>
      </c>
      <c r="F5" s="9" t="n"/>
      <c r="G5" s="9" t="n"/>
    </row>
    <row r="6" ht="23" customHeight="1" s="23">
      <c r="A6" s="8" t="n">
        <v>5</v>
      </c>
      <c r="B6" s="8" t="inlineStr">
        <is>
          <t>Order of the five sign-offs, and can anyone delegate?</t>
        </is>
      </c>
      <c r="C6" s="8" t="inlineStr">
        <is>
          <t>Dan, department review</t>
        </is>
      </c>
      <c r="D6" s="8" t="inlineStr">
        <is>
          <t>Department review</t>
        </is>
      </c>
      <c r="E6" s="9" t="inlineStr">
        <is>
          <t>Department review. Dashboard note: the notification goes to each role in sign-off order only if the order is fixed; otherwise all five at once when the last line closes.</t>
        </is>
      </c>
      <c r="F6" s="9" t="n"/>
      <c r="G6" s="9" t="n"/>
    </row>
    <row r="7" ht="23" customHeight="1" s="23">
      <c r="A7" s="8" t="n">
        <v>6</v>
      </c>
      <c r="B7" s="8" t="inlineStr">
        <is>
          <t>Should the 21 items and the sign-offs become part of "complete" (SSORT does not require them to post today)?</t>
        </is>
      </c>
      <c r="C7" s="8" t="inlineStr">
        <is>
          <t>Department review</t>
        </is>
      </c>
      <c r="D7" s="8" t="inlineStr">
        <is>
          <t>Decide at review; SSORT follows DL-1</t>
        </is>
      </c>
      <c r="E7" s="9" t="inlineStr">
        <is>
          <t>Department review. Dashboard note: whatever is decided, the scanner computes "ready to sign" from the matrix states, so changing the rule later is a rule change, not a rebuild.</t>
        </is>
      </c>
      <c r="F7" s="9" t="n"/>
      <c r="G7" s="9" t="n"/>
    </row>
    <row r="8">
      <c r="A8" s="8" t="n">
        <v>7</v>
      </c>
      <c r="B8" s="8" t="inlineStr">
        <is>
          <t>Which lines are visible to whom on the dashboard while in progress?</t>
        </is>
      </c>
      <c r="C8" s="8" t="inlineStr">
        <is>
          <t>Dashboard, Dan</t>
        </is>
      </c>
      <c r="D8" s="8" t="inlineStr">
        <is>
          <t>All lines visible to the rig, office and superintendents</t>
        </is>
      </c>
      <c r="E8" s="9" t="inlineStr">
        <is>
          <t>All lines visible to the rig, the office and the superintendents on the BOP dashboard's DL-1 panel and the Help Centre tab; edit rights stay with the line owner in DL-1 / SSORT; the dashboard is read-only.</t>
        </is>
      </c>
      <c r="F8" s="9" t="n"/>
      <c r="G8" s="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2026-10-11T22:59:42Z</dcterms:created>
  <dcterms:modified xmlns:dcterms="http://purl.org/dc/terms/" xmlns:xsi="http://www.w3.org/2001/XMLSchema-instance" xsi:type="dcterms:W3CDTF">2026-10-11T23:16:46Z</dcterms:modified>
  <cp:lastModifiedBy>Daniel Plant</cp:lastModifiedBy>
</cp:coreProperties>
</file>