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plant\Claude\Projects\Subsea Superintendent Reporting Template\"/>
    </mc:Choice>
  </mc:AlternateContent>
  <xr:revisionPtr revIDLastSave="0" documentId="13_ncr:1_{8F89A0E5-71E4-4464-88B0-45C85D35053C}" xr6:coauthVersionLast="47" xr6:coauthVersionMax="47" xr10:uidLastSave="{00000000-0000-0000-0000-000000000000}"/>
  <bookViews>
    <workbookView xWindow="-10425" yWindow="-17580" windowWidth="21600" windowHeight="12525" xr2:uid="{00000000-000D-0000-FFFF-FFFF00000000}"/>
  </bookViews>
  <sheets>
    <sheet name="Read me" sheetId="1" r:id="rId1"/>
    <sheet name="Matrix" sheetId="2" r:id="rId2"/>
    <sheet name="Example — one stack" sheetId="3" r:id="rId3"/>
    <sheet name="States" sheetId="4" r:id="rId4"/>
    <sheet name="Questions" sheetId="5" r:id="rId5"/>
  </sheets>
  <definedNames>
    <definedName name="_xlnm._FilterDatabase" localSheetId="1" hidden="1">Matrix!$A$1:$P$62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3" l="1"/>
  <c r="I9" i="3"/>
  <c r="I8" i="3"/>
  <c r="I7" i="3"/>
  <c r="I6" i="3"/>
  <c r="I5" i="3"/>
  <c r="I12" i="3" s="1"/>
  <c r="I1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tools session</author>
  </authors>
  <commentList>
    <comment ref="L3" authorId="0" shapeId="0" xr:uid="{00000000-0006-0000-0100-000001000000}">
      <text>
        <r>
          <rPr>
            <sz val="11"/>
            <color theme="1"/>
            <rFont val="Calibri"/>
            <family val="2"/>
            <scheme val="minor"/>
          </rPr>
          <t>Example entry showing the expected format. Replace it with your own.</t>
        </r>
      </text>
    </comment>
  </commentList>
</comments>
</file>

<file path=xl/sharedStrings.xml><?xml version="1.0" encoding="utf-8"?>
<sst xmlns="http://schemas.openxmlformats.org/spreadsheetml/2006/main" count="924" uniqueCount="390">
  <si>
    <t>PRE-DEPLOYMENT MATRIX — PROPOSAL FOR REVIEW</t>
  </si>
  <si>
    <t>For: Dan Plant and Lee Arnold (DL-1 planning tool). Reviewed first by the dashboard session. Prepared by the reporting-tools session, 12 October 2026.</t>
  </si>
  <si>
    <t>What this is</t>
  </si>
  <si>
    <t>The matrix is the working view of a BOP's pre-deployment status, filled in progressively from the day the BOP lands. It populates the pre-deployment checklist (FRM-00-0168 Rev 8), which all parties agree and sign off before the BOP is run.</t>
  </si>
  <si>
    <t>Every line below comes from what SSORT's pre-deployment checklist holds today (read off the live tool, SSORT REV 161), plus the nine pre-deployment surface tests. Nothing here is new content: it is today's checklist laid out as matrix rows, so it can be agreed before anything is built.</t>
  </si>
  <si>
    <t>Decisions already made (Dan, 12 Oct)</t>
  </si>
  <si>
    <t>1. The surface tests are done in SSORT once and linked to the plan as evidence. The pre-deployment checklist's primary is DL-1; SSORT keeps a copy for rigs on other templates or not yet on DL-1.</t>
  </si>
  <si>
    <t>2. Sign-off for now is each person's name typed on the checklist. Accountability comes from the pre-deployment call held per directive before the BOP is run, where the checklist is reviewed — with the difference that every relevant party has now seen the checklist beforehand.</t>
  </si>
  <si>
    <t>3. Not compulsory yet: templates differ by rig, and the full requirement goes to department review.</t>
  </si>
  <si>
    <t>The sheets</t>
  </si>
  <si>
    <t>Matrix — one row per kind of checklist line, with what makes it complete and where the evidence comes from. THE SHEET TO REVIEW.</t>
  </si>
  <si>
    <t>Example — one stack — the matrix expanded for one 7-cavity stack, with example states and a live progress summary, to show "status as we go".</t>
  </si>
  <si>
    <t>States — the five states a line can be in, and the sign-off rule.</t>
  </si>
  <si>
    <t>Questions — the points still open, for Dan, Lee and the dashboard to answer.</t>
  </si>
  <si>
    <t>How to review (legend)</t>
  </si>
  <si>
    <t>Pale yellow cells are for you: "Agree?" (pick Yes / No / Change) and the comment column with your name. Everything else is the proposal — please do not overwrite it; put changes in your comment column.</t>
  </si>
  <si>
    <t>Order: the dashboard comments first (its column is ready), then Dan sends to Lee.</t>
  </si>
  <si>
    <t>Line</t>
  </si>
  <si>
    <t>Section</t>
  </si>
  <si>
    <t>Checklist line</t>
  </si>
  <si>
    <t>One row per</t>
  </si>
  <si>
    <t>Evidence / what is recorded</t>
  </si>
  <si>
    <t>Complete when</t>
  </si>
  <si>
    <t>N/A allowed?</t>
  </si>
  <si>
    <t>Updated by</t>
  </si>
  <si>
    <t>From</t>
  </si>
  <si>
    <t>In SSORT today (keys)</t>
  </si>
  <si>
    <t>Agree? (Dashboard)</t>
  </si>
  <si>
    <t>Dashboard comment</t>
  </si>
  <si>
    <t>Agree? (Dan)</t>
  </si>
  <si>
    <t>Dan comment</t>
  </si>
  <si>
    <t>Agree? (Lee)</t>
  </si>
  <si>
    <t>Lee comment</t>
  </si>
  <si>
    <t>A · Header</t>
  </si>
  <si>
    <t>A-01</t>
  </si>
  <si>
    <t>Header</t>
  </si>
  <si>
    <t>Rig, well, BOP stack, date</t>
  </si>
  <si>
    <t>checklist</t>
  </si>
  <si>
    <t>From the plan (rig, BOP) and the well</t>
  </si>
  <si>
    <t>All four filled</t>
  </si>
  <si>
    <t>No</t>
  </si>
  <si>
    <t>Plan (auto)</t>
  </si>
  <si>
    <t>Plan created</t>
  </si>
  <si>
    <t>pdc_rig, pdc_well, pdc_stack, pdc_date</t>
  </si>
  <si>
    <t>Yes</t>
  </si>
  <si>
    <t>Example: "Agreed — rig and BOP come from the plan" (dashboard)</t>
  </si>
  <si>
    <t>B · The checklist items (FRM-00-0168 Rev 8)</t>
  </si>
  <si>
    <t>B-01</t>
  </si>
  <si>
    <t>Item</t>
  </si>
  <si>
    <t>Has the BTW maintenance been completed within the projected timeline?</t>
  </si>
  <si>
    <t>Yes / No + remarks: If no, please state why.</t>
  </si>
  <si>
    <t>Answered (remarks given where the prompt asks)</t>
  </si>
  <si>
    <t>Yes, with reason</t>
  </si>
  <si>
    <t>SS Supervisor / TSL</t>
  </si>
  <si>
    <t>BOP lands</t>
  </si>
  <si>
    <t>pdc_1_resp, pdc_1_rem</t>
  </si>
  <si>
    <t>B-02</t>
  </si>
  <si>
    <t>Was any break-in work required during the maintenance period?</t>
  </si>
  <si>
    <t>Yes / No + remarks: If yes, please specify what and outline impact on timeline.</t>
  </si>
  <si>
    <t>pdc_2_resp, pdc_2_rem</t>
  </si>
  <si>
    <t>B-03</t>
  </si>
  <si>
    <t>Have all CM's and known deficiencies been repaired with corresponding work orders closed out?</t>
  </si>
  <si>
    <t>Yes / No + remarks: If no, please state details.</t>
  </si>
  <si>
    <t>pdc_3_resp, pdc_3_rem</t>
  </si>
  <si>
    <t>B-04</t>
  </si>
  <si>
    <t>Have there been any modifications or upgrades made during the maintenance period?</t>
  </si>
  <si>
    <t>Yes / No + remarks: If yes, please state Synergi NC or MOC number.</t>
  </si>
  <si>
    <t>pdc_4_resp, pdc_4_rem</t>
  </si>
  <si>
    <t>B-05</t>
  </si>
  <si>
    <t>Is there an approved riser analysis and WSOG available?</t>
  </si>
  <si>
    <t>Yes / No</t>
  </si>
  <si>
    <t>Answered</t>
  </si>
  <si>
    <t>pdc_5_resp, pdc_5_rem</t>
  </si>
  <si>
    <t>B-06</t>
  </si>
  <si>
    <t>Have all subsea accumulators been pre-charged to the pressures as per TSC recommendation? Can rig team confirm that all charging valves are in situ?</t>
  </si>
  <si>
    <t>pdc_6_resp, pdc_6_rem</t>
  </si>
  <si>
    <t>B-07</t>
  </si>
  <si>
    <t>Is a BOP hop planned during the deployment?</t>
  </si>
  <si>
    <t>Yes / No + remarks: If yes, does the rig have an approved riser analysis and pre-charge plan for this/these depths.</t>
  </si>
  <si>
    <t>pdc_7_resp, pdc_7_rem</t>
  </si>
  <si>
    <t>B-08</t>
  </si>
  <si>
    <t>What is the inclination and the diameter of the High Press Wellhead Housing (HPWH)?</t>
  </si>
  <si>
    <t>Free text answer</t>
  </si>
  <si>
    <t>pdc_8_resp, pdc_8_rem</t>
  </si>
  <si>
    <t>B-09</t>
  </si>
  <si>
    <t>Has the BOP control cycle count been re-set? If a dual stack and stacks have been swapped, have we accounted for simulator functions?</t>
  </si>
  <si>
    <t>pdc_9_resp, pdc_9_rem</t>
  </si>
  <si>
    <t>B-10</t>
  </si>
  <si>
    <t>Have any of the main wellbore elastomers been changed out?</t>
  </si>
  <si>
    <t>Yes / No + remarks: If yes, please state which components, how many closures they had, and elastomer information on the sheet below.</t>
  </si>
  <si>
    <t>pdc_10_resp, pdc_10_rem</t>
  </si>
  <si>
    <t>B-11</t>
  </si>
  <si>
    <t>Is the subsea team aware of testing requirements during the BOP deployment and post BOP land out?</t>
  </si>
  <si>
    <t>pdc_11_resp, pdc_11_rem</t>
  </si>
  <si>
    <t>B-12</t>
  </si>
  <si>
    <t>Is the BOP control system clear of all alarms and faults?</t>
  </si>
  <si>
    <t>pdc_12_resp, pdc_12_rem</t>
  </si>
  <si>
    <t>B-13</t>
  </si>
  <si>
    <t>Are the Electrical and Marine departments aware of the requirements and procedure when re-calibrating the stack ERA's?</t>
  </si>
  <si>
    <t>pdc_13_resp, pdc_13_rem</t>
  </si>
  <si>
    <t>B-14</t>
  </si>
  <si>
    <t>Are the rig team aware of the importance to monitor Mux cables at all times when machinery moves in the moon pool? How is this managed? Has the Mux Cable management video been watched by all to be involved in the task?</t>
  </si>
  <si>
    <t>pdc_14_resp, pdc_14_rem</t>
  </si>
  <si>
    <t>B-15</t>
  </si>
  <si>
    <t>Are the Subsea team following requirements as per TB-WCE-73 (AAB C10078078) when reporting BOP/Pod Control Change outs?</t>
  </si>
  <si>
    <t>pdc_15_resp, pdc_15_rem</t>
  </si>
  <si>
    <t>B-16</t>
  </si>
  <si>
    <t>During the maintenance period was there a need to urgently transfer/ship parts? (including taking parts from the offline stack if dual stack rig)</t>
  </si>
  <si>
    <t>Yes / No + remarks: If yes, please state details.</t>
  </si>
  <si>
    <t>pdc_16_resp, pdc_16_rem</t>
  </si>
  <si>
    <t>B-17</t>
  </si>
  <si>
    <t>Are there any overdue AAB's relevant to Well Control?</t>
  </si>
  <si>
    <t>pdc_17_resp, pdc_17_rem</t>
  </si>
  <si>
    <t>B-18</t>
  </si>
  <si>
    <t>Is there sufficient riser torque tools available with sufficient spares?</t>
  </si>
  <si>
    <t>pdc_18_resp, pdc_18_rem</t>
  </si>
  <si>
    <t>B-19</t>
  </si>
  <si>
    <t>Has the BOP handling equipment been function tested and is there any known deficiencies?</t>
  </si>
  <si>
    <t>pdc_19_resp, pdc_19_rem</t>
  </si>
  <si>
    <t>B-20</t>
  </si>
  <si>
    <t>Was someone from TSC well control equipment group onboard to assist during the BTW period?</t>
  </si>
  <si>
    <t>pdc_20_resp, pdc_20_rem</t>
  </si>
  <si>
    <t>B-M1</t>
  </si>
  <si>
    <t>Are any milling operations planned in the upcoming drilling program?</t>
  </si>
  <si>
    <t>Yes / No + remarks: Raised at the West Neptune MPR investigation closeout. Milling debris is a known threat to ram packers and door sealing faces, and the BOP crew need to know before the stack goes in the water. If Yes, record what is planned and when in Remarks.</t>
  </si>
  <si>
    <t>pdc_M1_resp, pdc_M1_rem</t>
  </si>
  <si>
    <t>C · BOP configuration and stack</t>
  </si>
  <si>
    <t>C-01</t>
  </si>
  <si>
    <t>BOP config</t>
  </si>
  <si>
    <t>BOP designation, manufacturer, number of cavities, status</t>
  </si>
  <si>
    <t>stack</t>
  </si>
  <si>
    <t>Selections</t>
  </si>
  <si>
    <t>All four set</t>
  </si>
  <si>
    <t>SS Supervisor</t>
  </si>
  <si>
    <t>pdcbop_desig, pdcbop_s&lt;s&gt;_mfr / _cav / _status</t>
  </si>
  <si>
    <t>C-02</t>
  </si>
  <si>
    <t>Stack table</t>
  </si>
  <si>
    <t>Annular / connector position: position, specification, install date, part no., serial no., cycle count</t>
  </si>
  <si>
    <t>position (UA, RC, LA, WHC)</t>
  </si>
  <si>
    <t>Recorded values</t>
  </si>
  <si>
    <t>All fields filled</t>
  </si>
  <si>
    <t>SS Engineer</t>
  </si>
  <si>
    <t>pdcbop_s&lt;s&gt;_r&lt;i&gt;_pos / _spec / _install / _pn / _serial / _cycles</t>
  </si>
  <si>
    <t>C-03</t>
  </si>
  <si>
    <t>Ram cavity position: position, specification, install date, FWD and AFT packer part / serial, cycle count</t>
  </si>
  <si>
    <t>cavity</t>
  </si>
  <si>
    <t>pdcbop_s&lt;s&gt;_r&lt;i&gt;_pos / _spec / _install / _pnf / _pna / _snf / _sna / _cycles</t>
  </si>
  <si>
    <t>C-04</t>
  </si>
  <si>
    <t>Ram packers</t>
  </si>
  <si>
    <t>All ram packers installed correctly and orientation confirmed</t>
  </si>
  <si>
    <t>Yes / No + remarks</t>
  </si>
  <si>
    <t>Rams closed up</t>
  </si>
  <si>
    <t>pdcbop_s&lt;s&gt;_packers_ok, _packers_rem</t>
  </si>
  <si>
    <t>D · Photographic evidence (the SSORT post gate counts these)</t>
  </si>
  <si>
    <t>D-01</t>
  </si>
  <si>
    <t>Photographs</t>
  </si>
  <si>
    <t>Ram packer photographs, FWD and AFT</t>
  </si>
  <si>
    <t>2 photographs, slot-labelled (e.g. "UBSR — FWD")</t>
  </si>
  <si>
    <t>Both present</t>
  </si>
  <si>
    <t>Rams pulled</t>
  </si>
  <si>
    <t>pdcbop_s&lt;s&gt;_ph_rams</t>
  </si>
  <si>
    <t>D-02</t>
  </si>
  <si>
    <t>Cavity sealing face photographs, FWD and AFT</t>
  </si>
  <si>
    <t>2 photographs, slot-labelled</t>
  </si>
  <si>
    <t>pdcbop_s&lt;s&gt;_ph_cavities</t>
  </si>
  <si>
    <t>D-03</t>
  </si>
  <si>
    <t>Door sealing face photographs, FWD and AFT</t>
  </si>
  <si>
    <t>pdcbop_s&lt;s&gt;_ph_doors</t>
  </si>
  <si>
    <t>E · Electrical</t>
  </si>
  <si>
    <t>E-01</t>
  </si>
  <si>
    <t>Electrical</t>
  </si>
  <si>
    <t>All electrical checks completed per Guidelines for Pre-Deployment – Checklist</t>
  </si>
  <si>
    <t>Electrical Supervisor</t>
  </si>
  <si>
    <t>Before tests</t>
  </si>
  <si>
    <t>pdc_elec_checks_resp, _rem</t>
  </si>
  <si>
    <t>E-02</t>
  </si>
  <si>
    <t>Riser Anti Recoil Relay installed (RARS) — circuit ref RL-1-EDS</t>
  </si>
  <si>
    <t>Tick</t>
  </si>
  <si>
    <t>Ticked</t>
  </si>
  <si>
    <t>pdc_elec_rars_relay</t>
  </si>
  <si>
    <t>E-03</t>
  </si>
  <si>
    <t>RARS terminal spades installed in Drill Floor LIR Wireline Riser Tensioner Cabinet</t>
  </si>
  <si>
    <t>pdc_elec_rars_spades</t>
  </si>
  <si>
    <t>E-04</t>
  </si>
  <si>
    <t>BOP EWS alarm &amp; fault pages</t>
  </si>
  <si>
    <t>Photographs (up to 6)</t>
  </si>
  <si>
    <t>At least one, clear of alarms or explained</t>
  </si>
  <si>
    <t>Before deployment</t>
  </si>
  <si>
    <t>pdc_elec_ph_ews</t>
  </si>
  <si>
    <t>E-05</t>
  </si>
  <si>
    <t>Insulation impedance screen</t>
  </si>
  <si>
    <t>Photographs (up to 4)</t>
  </si>
  <si>
    <t>At least one</t>
  </si>
  <si>
    <t>pdc_elec_ph_ir</t>
  </si>
  <si>
    <t>E-06</t>
  </si>
  <si>
    <t>Fibre signal strengths</t>
  </si>
  <si>
    <t>pdc_elec_ph_fibre</t>
  </si>
  <si>
    <t>F · Pre-deployment surface tests (entry 62.4)</t>
  </si>
  <si>
    <t>F-01</t>
  </si>
  <si>
    <t>Surface test</t>
  </si>
  <si>
    <t>FUNCTION TEST</t>
  </si>
  <si>
    <t>SSORT Surface BOP Testing · BOP Function Test, linked</t>
  </si>
  <si>
    <t>Evidence linked / attached</t>
  </si>
  <si>
    <t>Testing</t>
  </si>
  <si>
    <t>Linked SSORT record (seadrill-planlink_) or attachment</t>
  </si>
  <si>
    <t>F-02</t>
  </si>
  <si>
    <t>SOAK</t>
  </si>
  <si>
    <t>SSORT · Soak Test, linked</t>
  </si>
  <si>
    <t>F-03</t>
  </si>
  <si>
    <t>DRAWDOWN</t>
  </si>
  <si>
    <t>SSORT · Surface Drawdown Test, linked</t>
  </si>
  <si>
    <t>F-04</t>
  </si>
  <si>
    <t>ACOUSTIC</t>
  </si>
  <si>
    <t>SSORT · Acoustic Function Testing, linked</t>
  </si>
  <si>
    <t>Yes — no acoustic system on West Vela, West Neptune, Sevan Louisiana</t>
  </si>
  <si>
    <t>F-05</t>
  </si>
  <si>
    <t>ROV</t>
  </si>
  <si>
    <t>SSORT · ROV Function Testing, linked</t>
  </si>
  <si>
    <t>F-06</t>
  </si>
  <si>
    <t>EDS</t>
  </si>
  <si>
    <t>SSORT · EDS Testing, linked</t>
  </si>
  <si>
    <t>F-07</t>
  </si>
  <si>
    <t>EHBS</t>
  </si>
  <si>
    <t>SSORT · EHBS Testing, linked</t>
  </si>
  <si>
    <t>F-08</t>
  </si>
  <si>
    <t>PRESSURE TEST</t>
  </si>
  <si>
    <t>Test charts (digital or analogue) attached in the plan</t>
  </si>
  <si>
    <t>(none — attachment in the plan)</t>
  </si>
  <si>
    <t>F-09</t>
  </si>
  <si>
    <t>DRIFT</t>
  </si>
  <si>
    <t>Drift record attached in the plan</t>
  </si>
  <si>
    <t>G · Non-compliance, exemption</t>
  </si>
  <si>
    <t>G-01</t>
  </si>
  <si>
    <t>Non-compliance</t>
  </si>
  <si>
    <t>Potential non-compliance / non-completion of PMs: description, reason, Synergi MOC/NC or MAXIMO NC no.</t>
  </si>
  <si>
    <t>entry</t>
  </si>
  <si>
    <t>Rows as needed</t>
  </si>
  <si>
    <t>Each row has a reference, or "none" stated</t>
  </si>
  <si>
    <t>n/a</t>
  </si>
  <si>
    <t>TSL</t>
  </si>
  <si>
    <t>Any time</t>
  </si>
  <si>
    <t>pdc_nc_r&lt;i&gt;_desc / _reason / _ref</t>
  </si>
  <si>
    <t>G-02</t>
  </si>
  <si>
    <t>Exemption</t>
  </si>
  <si>
    <t>Comments in case of exemption from the above</t>
  </si>
  <si>
    <t>Text</t>
  </si>
  <si>
    <t>Filled when any line is N/A or No</t>
  </si>
  <si>
    <t>Before sign-off</t>
  </si>
  <si>
    <t>pdc_exempt</t>
  </si>
  <si>
    <t>H · Agreement and sign-off</t>
  </si>
  <si>
    <t>H-01</t>
  </si>
  <si>
    <t>Acknowledgement</t>
  </si>
  <si>
    <t>All participants have reviewed the completed work and agree the BOP is suitable for deployment</t>
  </si>
  <si>
    <t>Sign-off</t>
  </si>
  <si>
    <t>pdc_ack</t>
  </si>
  <si>
    <t>H-02</t>
  </si>
  <si>
    <t>TSL — name and date</t>
  </si>
  <si>
    <t>Typed name and date (for now: Dan, 12 Oct)</t>
  </si>
  <si>
    <t>Name and date given</t>
  </si>
  <si>
    <t>pdc_so0_name, pdc_so0_date</t>
  </si>
  <si>
    <t>H-03</t>
  </si>
  <si>
    <t>SS Supervisor — name and date</t>
  </si>
  <si>
    <t>pdc_so1_name, pdc_so1_date</t>
  </si>
  <si>
    <t>H-04</t>
  </si>
  <si>
    <t>Rig Manager — name and date</t>
  </si>
  <si>
    <t>Rig Manager</t>
  </si>
  <si>
    <t>pdc_so2_name, pdc_so2_date</t>
  </si>
  <si>
    <t>H-05</t>
  </si>
  <si>
    <t>Operations Director — name and date</t>
  </si>
  <si>
    <t>Operations Director</t>
  </si>
  <si>
    <t>pdc_so3_name, pdc_so3_date</t>
  </si>
  <si>
    <t>H-06</t>
  </si>
  <si>
    <t>Well Control Equipment Manager — name and date</t>
  </si>
  <si>
    <t>Well Control Equipment Manager</t>
  </si>
  <si>
    <t>pdc_so4_name, pdc_so4_date</t>
  </si>
  <si>
    <t>H-07</t>
  </si>
  <si>
    <t>Pre-deployment call</t>
  </si>
  <si>
    <t>Pre-deployment call held per directive; checklist reviewed with all parties before the BOP is run</t>
  </si>
  <si>
    <t>Date / time of the call, attendees</t>
  </si>
  <si>
    <t>Call held</t>
  </si>
  <si>
    <t>Before running</t>
  </si>
  <si>
    <t>(new — not in SSORT today)</t>
  </si>
  <si>
    <t>EXAMPLE — West Vela BOP1, 7 cavities (illustrative states only, not real data)</t>
  </si>
  <si>
    <t>The matrix expanded for one stack: each "per cavity" / "per position" line becomes one row per cavity / position. States are examples showing "status as we go"; the summary on the right recalculates as states change.</t>
  </si>
  <si>
    <t>State</t>
  </si>
  <si>
    <t>Evidence</t>
  </si>
  <si>
    <t>Updated</t>
  </si>
  <si>
    <t>Progress (recalculates)</t>
  </si>
  <si>
    <t>Complete</t>
  </si>
  <si>
    <t>From the plan</t>
  </si>
  <si>
    <t>Plan</t>
  </si>
  <si>
    <t>05-Oct</t>
  </si>
  <si>
    <t>Not started</t>
  </si>
  <si>
    <t>In progress</t>
  </si>
  <si>
    <t>Have all CM's and known deficiencies been repaired with corresponding …</t>
  </si>
  <si>
    <t>Evidence linked</t>
  </si>
  <si>
    <t>Have there been any modifications or upgrades made during the maintena…</t>
  </si>
  <si>
    <t>N/A (reason)</t>
  </si>
  <si>
    <t>Lines in total</t>
  </si>
  <si>
    <t>Have all subsea accumulators been pre-charged to the pressures as per …</t>
  </si>
  <si>
    <t>Done (complete, evidence linked or N/A)</t>
  </si>
  <si>
    <t>Ready to sign?</t>
  </si>
  <si>
    <t>What is the inclination and the diameter of the High Press Wellhead Ho…</t>
  </si>
  <si>
    <t>Has the BOP control cycle count been re-set? If a dual stack and stack…</t>
  </si>
  <si>
    <t>Rule: signing opens only when no line is Not started or In progress (States sheet).</t>
  </si>
  <si>
    <t>Is the subsea team aware of testing requirements during the BOP deploy…</t>
  </si>
  <si>
    <t>Are the Electrical and Marine departments aware of the requirements an…</t>
  </si>
  <si>
    <t>Are the rig team aware of the importance to monitor Mux cables at all …</t>
  </si>
  <si>
    <t>Are the Subsea team following requirements as per TB-WCE-73 (AAB C1007…</t>
  </si>
  <si>
    <t>During the maintenance period was there a need to urgently transfer/sh…</t>
  </si>
  <si>
    <t>Is there sufficient riser torque tools available with sufficient spare…</t>
  </si>
  <si>
    <t>Has the BOP handling equipment been function tested and is there any k…</t>
  </si>
  <si>
    <t>Was someone from TSC well control equipment group onboard to assist du…</t>
  </si>
  <si>
    <t>BOP designation, manufacturer, cavities, status</t>
  </si>
  <si>
    <t>Stack table — UA</t>
  </si>
  <si>
    <t>Stack table — RC</t>
  </si>
  <si>
    <t>Stack table — LA</t>
  </si>
  <si>
    <t>Stack table — UBSR</t>
  </si>
  <si>
    <t>Stack table — CSR</t>
  </si>
  <si>
    <t>Stack table — LBSR</t>
  </si>
  <si>
    <t>Stack table — UPR</t>
  </si>
  <si>
    <t>Stack table — MPR</t>
  </si>
  <si>
    <t>Stack table — LPR</t>
  </si>
  <si>
    <t>Stack table — TPR</t>
  </si>
  <si>
    <t>Stack table — WHC</t>
  </si>
  <si>
    <t>Ram packers installed and orientation confirmed</t>
  </si>
  <si>
    <t>D-01..03</t>
  </si>
  <si>
    <t>Photographs — UBSR (ram packer, cavity face, door face; FWD + AFT)</t>
  </si>
  <si>
    <t>6 of 6 photographs</t>
  </si>
  <si>
    <t>Photographs — CSR (ram packer, cavity face, door face; FWD + AFT)</t>
  </si>
  <si>
    <t>Photographs — LBSR (ram packer, cavity face, door face; FWD + AFT)</t>
  </si>
  <si>
    <t>Photographs — UPR (ram packer, cavity face, door face; FWD + AFT)</t>
  </si>
  <si>
    <t>3 of 6 photographs</t>
  </si>
  <si>
    <t>Photographs — MPR (ram packer, cavity face, door face; FWD + AFT)</t>
  </si>
  <si>
    <t>Photographs — LPR (ram packer, cavity face, door face; FWD + AFT)</t>
  </si>
  <si>
    <t>0 of 6 photographs</t>
  </si>
  <si>
    <t>Photographs — TPR (ram packer, cavity face, door face; FWD + AFT)</t>
  </si>
  <si>
    <t>No acoustic system on West Vela</t>
  </si>
  <si>
    <t>Electrical checks</t>
  </si>
  <si>
    <t>RARS relay</t>
  </si>
  <si>
    <t>RARS spades</t>
  </si>
  <si>
    <t>EWS pages</t>
  </si>
  <si>
    <t>IR screen</t>
  </si>
  <si>
    <t>Fibre signal</t>
  </si>
  <si>
    <t>Non-compliance / PMs</t>
  </si>
  <si>
    <t>Exemption comments</t>
  </si>
  <si>
    <t>Sign-off — TSL</t>
  </si>
  <si>
    <t>Sign-off — SS Supervisor</t>
  </si>
  <si>
    <t>Sign-off — Rig Manager</t>
  </si>
  <si>
    <t>Sign-off — Operations Director</t>
  </si>
  <si>
    <t>Sign-off — Well Control Equipment Manager</t>
  </si>
  <si>
    <t>Pre-deployment call per directive</t>
  </si>
  <si>
    <t>Meaning</t>
  </si>
  <si>
    <t>Counts as closed for sign-off?</t>
  </si>
  <si>
    <t>Nothing recorded yet</t>
  </si>
  <si>
    <t>Partly recorded (e.g. 3 of 6 photographs)</t>
  </si>
  <si>
    <t>Recorded in full in the checklist</t>
  </si>
  <si>
    <t>A SSORT record or an attachment is linked as the evidence (surface tests)</t>
  </si>
  <si>
    <t>Does not apply on this rig / stack, with the reason written (e.g. no acoustic system)</t>
  </si>
  <si>
    <t>Yes — the reason is listed at sign-off</t>
  </si>
  <si>
    <t>Sign-off rule</t>
  </si>
  <si>
    <t>The checklist can be signed only when every line is Complete, Evidence linked or N/A (reason). Sign-off is the typed name and date of each of the five roles (for now). The checklist is then reviewed at the pre-deployment call held per directive before the BOP is run.</t>
  </si>
  <si>
    <t>Floor for "complete"</t>
  </si>
  <si>
    <t>Never less than SSORT's post gate today: designation set, cavities chosen, ram packers confirmed Yes, and cavities × 2 photographs in each of the three photograph sections.</t>
  </si>
  <si>
    <t>#</t>
  </si>
  <si>
    <t>Question</t>
  </si>
  <si>
    <t>For</t>
  </si>
  <si>
    <t>Proposed answer</t>
  </si>
  <si>
    <t>Dashboard</t>
  </si>
  <si>
    <t>Dan</t>
  </si>
  <si>
    <t>Lee</t>
  </si>
  <si>
    <t>One checklist per stack on DL-1 (one plan per stack), where SSORT holds both stacks of a dual rig in one checklist?</t>
  </si>
  <si>
    <t>Lee, dashboard</t>
  </si>
  <si>
    <t>Yes: a DL-1 checklist is one stack; SSORT dual copies split by stack</t>
  </si>
  <si>
    <t>Add a "slot" field to each photograph (e.g. "UBSR — FWD"), so the slot no longer depends on an editable caption?</t>
  </si>
  <si>
    <t>Lee, tools</t>
  </si>
  <si>
    <t>Yes, in both tools</t>
  </si>
  <si>
    <t>Which lines may be N/A, and who may mark them?</t>
  </si>
  <si>
    <t>Dan, Lee</t>
  </si>
  <si>
    <t>As in the Matrix "N/A allowed?" column; marked by the line's owner, reason required</t>
  </si>
  <si>
    <t>Is H-07 (pre-deployment call per directive) a line on the checklist, recorded with date and attendees?</t>
  </si>
  <si>
    <t>Yes — it closes the loop the sign-off opens</t>
  </si>
  <si>
    <t>Order of the five sign-offs, and can anyone delegate?</t>
  </si>
  <si>
    <t>Dan, department review</t>
  </si>
  <si>
    <t>Department review</t>
  </si>
  <si>
    <t>Should the 21 items and the sign-offs become part of "complete" (SSORT does not require them to post today)?</t>
  </si>
  <si>
    <t>Decide at review; SSORT follows DL-1</t>
  </si>
  <si>
    <t>Which lines are visible to whom on the dashboard while in progress?</t>
  </si>
  <si>
    <t>Dashboard, Dan</t>
  </si>
  <si>
    <t>All lines visible to the rig, office and superintendents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</si>
</sst>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002C77"/>
      <name val="Arial"/>
    </font>
    <font>
      <sz val="10"/>
      <name val="Arial"/>
    </font>
    <font>
      <b/>
      <sz val="11"/>
      <color rgb="FF002C77"/>
      <name val="Arial"/>
    </font>
    <font>
      <sz val="9"/>
      <name val="Arial"/>
    </font>
    <font>
      <b/>
      <sz val="10"/>
      <color rgb="FFFFFFFF"/>
      <name val="Arial"/>
    </font>
    <font>
      <b/>
      <sz val="10"/>
      <color rgb="FF002C77"/>
      <name val="Arial"/>
    </font>
    <font>
      <b/>
      <sz val="9"/>
      <name val="Arial"/>
    </font>
    <font>
      <b/>
      <sz val="12"/>
      <color rgb="FF002C77"/>
      <name val="Arial"/>
    </font>
    <font>
      <i/>
      <sz val="9"/>
      <name val="Arial"/>
    </font>
    <font>
      <i/>
      <sz val="8"/>
      <name val="Arial"/>
    </font>
  </fonts>
  <fills count="5">
    <fill>
      <patternFill patternType="none"/>
    </fill>
    <fill>
      <patternFill patternType="gray125"/>
    </fill>
    <fill>
      <patternFill patternType="solid">
        <fgColor rgb="FFFFF7D6"/>
      </patternFill>
    </fill>
    <fill>
      <patternFill patternType="solid">
        <fgColor rgb="FF002C77"/>
      </patternFill>
    </fill>
    <fill>
      <patternFill patternType="solid">
        <fgColor rgb="FFDCE6F5"/>
      </patternFill>
    </fill>
  </fills>
  <borders count="3">
    <border>
      <left/>
      <right/>
      <top/>
      <bottom/>
      <diagonal/>
    </border>
    <border>
      <left style="thin">
        <color rgb="FFC9D4E8"/>
      </left>
      <right style="thin">
        <color rgb="FFC9D4E8"/>
      </right>
      <top style="thin">
        <color rgb="FFC9D4E8"/>
      </top>
      <bottom style="thin">
        <color rgb="FFC9D4E8"/>
      </bottom>
      <diagonal/>
    </border>
    <border>
      <left/>
      <right/>
      <top/>
      <bottom/>
      <diagonal/>
    </border>
  </borders>
  <cellStyleXfs count="1">
    <xf numFmtId="0" fontId="0" fillId="0" borderId="0"/>
  </cellStyleXfs>
  <cellXfs count="2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5" fillId="3" borderId="1" xfId="0" applyFont="1" applyFill="1" applyBorder="1" applyAlignment="1">
      <alignment vertical="center" wrapText="1"/>
    </xf>
    <xf numFmtId="0" fontId="0" fillId="4" borderId="0" xfId="0" applyFill="1"/>
    <xf numFmtId="0" fontId="7" fillId="0" borderId="1" xfId="0" applyFont="1" applyBorder="1" applyAlignment="1">
      <alignment vertical="top" wrapText="1"/>
    </xf>
    <xf numFmtId="0" fontId="4" fillId="0" borderId="1" xfId="0" applyFont="1" applyBorder="1" applyAlignment="1">
      <alignment vertical="top" wrapText="1"/>
    </xf>
    <xf numFmtId="0" fontId="4" fillId="2" borderId="1" xfId="0" applyFont="1" applyFill="1" applyBorder="1" applyAlignment="1">
      <alignment vertical="top" wrapText="1"/>
    </xf>
    <xf numFmtId="0" fontId="8" fillId="0" borderId="0" xfId="0" applyFont="1"/>
    <xf numFmtId="0" fontId="5" fillId="3" borderId="1" xfId="0" applyFont="1" applyFill="1" applyBorder="1"/>
    <xf numFmtId="0" fontId="6" fillId="0" borderId="0" xfId="0" applyFont="1"/>
    <xf numFmtId="0" fontId="4" fillId="0" borderId="1" xfId="0" applyFont="1" applyBorder="1" applyAlignment="1">
      <alignment vertical="top"/>
    </xf>
    <xf numFmtId="0" fontId="4" fillId="2" borderId="1" xfId="0" applyFont="1" applyFill="1" applyBorder="1" applyAlignment="1">
      <alignment vertical="top"/>
    </xf>
    <xf numFmtId="0" fontId="4" fillId="0" borderId="0" xfId="0" applyFont="1"/>
    <xf numFmtId="0" fontId="7" fillId="0" borderId="0" xfId="0" applyFont="1"/>
    <xf numFmtId="9" fontId="7" fillId="0" borderId="0" xfId="0" applyNumberFormat="1" applyFont="1"/>
    <xf numFmtId="0" fontId="10" fillId="0" borderId="0" xfId="0" applyFont="1"/>
    <xf numFmtId="0" fontId="5" fillId="3" borderId="1" xfId="0" applyFont="1" applyFill="1" applyBorder="1" applyAlignment="1">
      <alignment vertical="top" wrapText="1"/>
    </xf>
    <xf numFmtId="0" fontId="7" fillId="0" borderId="2" xfId="0" applyFont="1" applyBorder="1" applyAlignment="1">
      <alignment vertical="top" wrapText="1"/>
    </xf>
    <xf numFmtId="0" fontId="4" fillId="0" borderId="2" xfId="0" applyFont="1" applyBorder="1" applyAlignment="1">
      <alignment vertical="top" wrapText="1"/>
    </xf>
    <xf numFmtId="0" fontId="6" fillId="4" borderId="0" xfId="0" applyFont="1" applyFill="1"/>
    <xf numFmtId="0" fontId="0" fillId="0" borderId="0" xfId="0"/>
    <xf numFmtId="0" fontId="9"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heetViews>
  <sheetFormatPr defaultRowHeight="14.5" x14ac:dyDescent="0.35"/>
  <cols>
    <col min="1" max="1" width="130" customWidth="1"/>
  </cols>
  <sheetData>
    <row r="1" spans="1:1" ht="18" x14ac:dyDescent="0.35">
      <c r="A1" s="1" t="s">
        <v>0</v>
      </c>
    </row>
    <row r="2" spans="1:1" x14ac:dyDescent="0.35">
      <c r="A2" s="2" t="s">
        <v>1</v>
      </c>
    </row>
    <row r="3" spans="1:1" x14ac:dyDescent="0.35">
      <c r="A3" s="3" t="s">
        <v>2</v>
      </c>
    </row>
    <row r="4" spans="1:1" ht="25" x14ac:dyDescent="0.35">
      <c r="A4" s="2" t="s">
        <v>3</v>
      </c>
    </row>
    <row r="5" spans="1:1" ht="25" x14ac:dyDescent="0.35">
      <c r="A5" s="2" t="s">
        <v>4</v>
      </c>
    </row>
    <row r="6" spans="1:1" x14ac:dyDescent="0.35">
      <c r="A6" s="3" t="s">
        <v>5</v>
      </c>
    </row>
    <row r="7" spans="1:1" ht="25" x14ac:dyDescent="0.35">
      <c r="A7" s="2" t="s">
        <v>6</v>
      </c>
    </row>
    <row r="8" spans="1:1" ht="25" x14ac:dyDescent="0.35">
      <c r="A8" s="2" t="s">
        <v>7</v>
      </c>
    </row>
    <row r="9" spans="1:1" x14ac:dyDescent="0.35">
      <c r="A9" s="2" t="s">
        <v>8</v>
      </c>
    </row>
    <row r="10" spans="1:1" x14ac:dyDescent="0.35">
      <c r="A10" s="3" t="s">
        <v>9</v>
      </c>
    </row>
    <row r="11" spans="1:1" x14ac:dyDescent="0.35">
      <c r="A11" s="2" t="s">
        <v>10</v>
      </c>
    </row>
    <row r="12" spans="1:1" x14ac:dyDescent="0.35">
      <c r="A12" s="2" t="s">
        <v>11</v>
      </c>
    </row>
    <row r="13" spans="1:1" x14ac:dyDescent="0.35">
      <c r="A13" s="2" t="s">
        <v>12</v>
      </c>
    </row>
    <row r="14" spans="1:1" x14ac:dyDescent="0.35">
      <c r="A14" s="2" t="s">
        <v>13</v>
      </c>
    </row>
    <row r="15" spans="1:1" x14ac:dyDescent="0.35">
      <c r="A15" s="3" t="s">
        <v>14</v>
      </c>
    </row>
    <row r="16" spans="1:1" ht="23" x14ac:dyDescent="0.35">
      <c r="A16" s="4" t="s">
        <v>15</v>
      </c>
    </row>
    <row r="17" spans="1:1" x14ac:dyDescent="0.35">
      <c r="A17"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2"/>
  <sheetViews>
    <sheetView workbookViewId="0">
      <pane xSplit="3" ySplit="1" topLeftCell="D2" activePane="bottomRight" state="frozen"/>
      <selection pane="topRight"/>
      <selection pane="bottomLeft"/>
      <selection pane="bottomRight"/>
    </sheetView>
  </sheetViews>
  <sheetFormatPr defaultRowHeight="14.5" x14ac:dyDescent="0.35"/>
  <cols>
    <col min="1" max="1" width="7" customWidth="1"/>
    <col min="2" max="2" width="16" customWidth="1"/>
    <col min="3" max="3" width="46" customWidth="1"/>
    <col min="4" max="4" width="14" customWidth="1"/>
    <col min="5" max="5" width="34" customWidth="1"/>
    <col min="6" max="6" width="30" customWidth="1"/>
    <col min="7" max="8" width="14" customWidth="1"/>
    <col min="9" max="9" width="16" customWidth="1"/>
    <col min="10" max="10" width="26" customWidth="1"/>
    <col min="11" max="11" width="11" customWidth="1"/>
    <col min="12" max="12" width="30" customWidth="1"/>
    <col min="13" max="13" width="11" customWidth="1"/>
    <col min="14" max="14" width="30" customWidth="1"/>
    <col min="15" max="15" width="11" customWidth="1"/>
    <col min="16" max="16" width="30" customWidth="1"/>
  </cols>
  <sheetData>
    <row r="1" spans="1:16" ht="39" x14ac:dyDescent="0.35">
      <c r="A1" s="5" t="s">
        <v>17</v>
      </c>
      <c r="B1" s="5" t="s">
        <v>18</v>
      </c>
      <c r="C1" s="5" t="s">
        <v>19</v>
      </c>
      <c r="D1" s="5" t="s">
        <v>20</v>
      </c>
      <c r="E1" s="5" t="s">
        <v>21</v>
      </c>
      <c r="F1" s="5" t="s">
        <v>22</v>
      </c>
      <c r="G1" s="5" t="s">
        <v>23</v>
      </c>
      <c r="H1" s="5" t="s">
        <v>24</v>
      </c>
      <c r="I1" s="5" t="s">
        <v>25</v>
      </c>
      <c r="J1" s="5" t="s">
        <v>26</v>
      </c>
      <c r="K1" s="5" t="s">
        <v>27</v>
      </c>
      <c r="L1" s="5" t="s">
        <v>28</v>
      </c>
      <c r="M1" s="5" t="s">
        <v>29</v>
      </c>
      <c r="N1" s="5" t="s">
        <v>30</v>
      </c>
      <c r="O1" s="5" t="s">
        <v>31</v>
      </c>
      <c r="P1" s="5" t="s">
        <v>32</v>
      </c>
    </row>
    <row r="2" spans="1:16" x14ac:dyDescent="0.35">
      <c r="A2" s="22" t="s">
        <v>33</v>
      </c>
      <c r="B2" s="23"/>
      <c r="C2" s="23"/>
      <c r="D2" s="23"/>
      <c r="E2" s="23"/>
      <c r="F2" s="23"/>
      <c r="G2" s="23"/>
      <c r="H2" s="23"/>
      <c r="I2" s="23"/>
      <c r="J2" s="23"/>
      <c r="K2" s="6"/>
      <c r="L2" s="6"/>
      <c r="M2" s="6"/>
      <c r="N2" s="6"/>
      <c r="O2" s="6"/>
      <c r="P2" s="6"/>
    </row>
    <row r="3" spans="1:16" ht="23" x14ac:dyDescent="0.35">
      <c r="A3" s="7" t="s">
        <v>34</v>
      </c>
      <c r="B3" s="8" t="s">
        <v>35</v>
      </c>
      <c r="C3" s="8" t="s">
        <v>36</v>
      </c>
      <c r="D3" s="8" t="s">
        <v>37</v>
      </c>
      <c r="E3" s="8" t="s">
        <v>38</v>
      </c>
      <c r="F3" s="8" t="s">
        <v>39</v>
      </c>
      <c r="G3" s="8" t="s">
        <v>40</v>
      </c>
      <c r="H3" s="8" t="s">
        <v>41</v>
      </c>
      <c r="I3" s="8" t="s">
        <v>42</v>
      </c>
      <c r="J3" s="8" t="s">
        <v>43</v>
      </c>
      <c r="K3" s="9" t="s">
        <v>44</v>
      </c>
      <c r="L3" s="9" t="s">
        <v>45</v>
      </c>
      <c r="M3" s="9"/>
      <c r="N3" s="9"/>
      <c r="O3" s="9"/>
      <c r="P3" s="9"/>
    </row>
    <row r="4" spans="1:16" x14ac:dyDescent="0.35">
      <c r="A4" s="22" t="s">
        <v>46</v>
      </c>
      <c r="B4" s="23"/>
      <c r="C4" s="23"/>
      <c r="D4" s="23"/>
      <c r="E4" s="23"/>
      <c r="F4" s="23"/>
      <c r="G4" s="23"/>
      <c r="H4" s="23"/>
      <c r="I4" s="23"/>
      <c r="J4" s="23"/>
      <c r="K4" s="6"/>
      <c r="L4" s="6"/>
      <c r="M4" s="6"/>
      <c r="N4" s="6"/>
      <c r="O4" s="6"/>
      <c r="P4" s="6"/>
    </row>
    <row r="5" spans="1:16" ht="23" x14ac:dyDescent="0.35">
      <c r="A5" s="7" t="s">
        <v>47</v>
      </c>
      <c r="B5" s="8" t="s">
        <v>48</v>
      </c>
      <c r="C5" s="8" t="s">
        <v>49</v>
      </c>
      <c r="D5" s="8" t="s">
        <v>37</v>
      </c>
      <c r="E5" s="8" t="s">
        <v>50</v>
      </c>
      <c r="F5" s="8" t="s">
        <v>51</v>
      </c>
      <c r="G5" s="8" t="s">
        <v>52</v>
      </c>
      <c r="H5" s="8" t="s">
        <v>53</v>
      </c>
      <c r="I5" s="8" t="s">
        <v>54</v>
      </c>
      <c r="J5" s="8" t="s">
        <v>55</v>
      </c>
      <c r="K5" s="9"/>
      <c r="L5" s="9"/>
      <c r="M5" s="9"/>
      <c r="N5" s="9"/>
      <c r="O5" s="9"/>
      <c r="P5" s="9"/>
    </row>
    <row r="6" spans="1:16" ht="23" x14ac:dyDescent="0.35">
      <c r="A6" s="7" t="s">
        <v>56</v>
      </c>
      <c r="B6" s="8" t="s">
        <v>48</v>
      </c>
      <c r="C6" s="8" t="s">
        <v>57</v>
      </c>
      <c r="D6" s="8" t="s">
        <v>37</v>
      </c>
      <c r="E6" s="8" t="s">
        <v>58</v>
      </c>
      <c r="F6" s="8" t="s">
        <v>51</v>
      </c>
      <c r="G6" s="8" t="s">
        <v>52</v>
      </c>
      <c r="H6" s="8" t="s">
        <v>53</v>
      </c>
      <c r="I6" s="8" t="s">
        <v>54</v>
      </c>
      <c r="J6" s="8" t="s">
        <v>59</v>
      </c>
      <c r="K6" s="9"/>
      <c r="L6" s="9"/>
      <c r="M6" s="9"/>
      <c r="N6" s="9"/>
      <c r="O6" s="9"/>
      <c r="P6" s="9"/>
    </row>
    <row r="7" spans="1:16" ht="23" x14ac:dyDescent="0.35">
      <c r="A7" s="7" t="s">
        <v>60</v>
      </c>
      <c r="B7" s="8" t="s">
        <v>48</v>
      </c>
      <c r="C7" s="8" t="s">
        <v>61</v>
      </c>
      <c r="D7" s="8" t="s">
        <v>37</v>
      </c>
      <c r="E7" s="8" t="s">
        <v>62</v>
      </c>
      <c r="F7" s="8" t="s">
        <v>51</v>
      </c>
      <c r="G7" s="8" t="s">
        <v>52</v>
      </c>
      <c r="H7" s="8" t="s">
        <v>53</v>
      </c>
      <c r="I7" s="8" t="s">
        <v>54</v>
      </c>
      <c r="J7" s="8" t="s">
        <v>63</v>
      </c>
      <c r="K7" s="9"/>
      <c r="L7" s="9"/>
      <c r="M7" s="9"/>
      <c r="N7" s="9"/>
      <c r="O7" s="9"/>
      <c r="P7" s="9"/>
    </row>
    <row r="8" spans="1:16" ht="23" x14ac:dyDescent="0.35">
      <c r="A8" s="7" t="s">
        <v>64</v>
      </c>
      <c r="B8" s="8" t="s">
        <v>48</v>
      </c>
      <c r="C8" s="8" t="s">
        <v>65</v>
      </c>
      <c r="D8" s="8" t="s">
        <v>37</v>
      </c>
      <c r="E8" s="8" t="s">
        <v>66</v>
      </c>
      <c r="F8" s="8" t="s">
        <v>51</v>
      </c>
      <c r="G8" s="8" t="s">
        <v>52</v>
      </c>
      <c r="H8" s="8" t="s">
        <v>53</v>
      </c>
      <c r="I8" s="8" t="s">
        <v>54</v>
      </c>
      <c r="J8" s="8" t="s">
        <v>67</v>
      </c>
      <c r="K8" s="9"/>
      <c r="L8" s="9"/>
      <c r="M8" s="9"/>
      <c r="N8" s="9"/>
      <c r="O8" s="9"/>
      <c r="P8" s="9"/>
    </row>
    <row r="9" spans="1:16" ht="23" x14ac:dyDescent="0.35">
      <c r="A9" s="7" t="s">
        <v>68</v>
      </c>
      <c r="B9" s="8" t="s">
        <v>48</v>
      </c>
      <c r="C9" s="8" t="s">
        <v>69</v>
      </c>
      <c r="D9" s="8" t="s">
        <v>37</v>
      </c>
      <c r="E9" s="8" t="s">
        <v>70</v>
      </c>
      <c r="F9" s="8" t="s">
        <v>71</v>
      </c>
      <c r="G9" s="8" t="s">
        <v>52</v>
      </c>
      <c r="H9" s="8" t="s">
        <v>53</v>
      </c>
      <c r="I9" s="8" t="s">
        <v>54</v>
      </c>
      <c r="J9" s="8" t="s">
        <v>72</v>
      </c>
      <c r="K9" s="9"/>
      <c r="L9" s="9"/>
      <c r="M9" s="9"/>
      <c r="N9" s="9"/>
      <c r="O9" s="9"/>
      <c r="P9" s="9"/>
    </row>
    <row r="10" spans="1:16" ht="34.5" x14ac:dyDescent="0.35">
      <c r="A10" s="7" t="s">
        <v>73</v>
      </c>
      <c r="B10" s="8" t="s">
        <v>48</v>
      </c>
      <c r="C10" s="8" t="s">
        <v>74</v>
      </c>
      <c r="D10" s="8" t="s">
        <v>37</v>
      </c>
      <c r="E10" s="8" t="s">
        <v>70</v>
      </c>
      <c r="F10" s="8" t="s">
        <v>71</v>
      </c>
      <c r="G10" s="8" t="s">
        <v>52</v>
      </c>
      <c r="H10" s="8" t="s">
        <v>53</v>
      </c>
      <c r="I10" s="8" t="s">
        <v>54</v>
      </c>
      <c r="J10" s="8" t="s">
        <v>75</v>
      </c>
      <c r="K10" s="9"/>
      <c r="L10" s="9"/>
      <c r="M10" s="9"/>
      <c r="N10" s="9"/>
      <c r="O10" s="9"/>
      <c r="P10" s="9"/>
    </row>
    <row r="11" spans="1:16" ht="34.5" x14ac:dyDescent="0.35">
      <c r="A11" s="7" t="s">
        <v>76</v>
      </c>
      <c r="B11" s="8" t="s">
        <v>48</v>
      </c>
      <c r="C11" s="8" t="s">
        <v>77</v>
      </c>
      <c r="D11" s="8" t="s">
        <v>37</v>
      </c>
      <c r="E11" s="8" t="s">
        <v>78</v>
      </c>
      <c r="F11" s="8" t="s">
        <v>51</v>
      </c>
      <c r="G11" s="8" t="s">
        <v>52</v>
      </c>
      <c r="H11" s="8" t="s">
        <v>53</v>
      </c>
      <c r="I11" s="8" t="s">
        <v>54</v>
      </c>
      <c r="J11" s="8" t="s">
        <v>79</v>
      </c>
      <c r="K11" s="9"/>
      <c r="L11" s="9"/>
      <c r="M11" s="9"/>
      <c r="N11" s="9"/>
      <c r="O11" s="9"/>
      <c r="P11" s="9"/>
    </row>
    <row r="12" spans="1:16" ht="23" x14ac:dyDescent="0.35">
      <c r="A12" s="7" t="s">
        <v>80</v>
      </c>
      <c r="B12" s="8" t="s">
        <v>48</v>
      </c>
      <c r="C12" s="8" t="s">
        <v>81</v>
      </c>
      <c r="D12" s="8" t="s">
        <v>37</v>
      </c>
      <c r="E12" s="8" t="s">
        <v>82</v>
      </c>
      <c r="F12" s="8" t="s">
        <v>71</v>
      </c>
      <c r="G12" s="8" t="s">
        <v>52</v>
      </c>
      <c r="H12" s="8" t="s">
        <v>53</v>
      </c>
      <c r="I12" s="8" t="s">
        <v>54</v>
      </c>
      <c r="J12" s="8" t="s">
        <v>83</v>
      </c>
      <c r="K12" s="9"/>
      <c r="L12" s="9"/>
      <c r="M12" s="9"/>
      <c r="N12" s="9"/>
      <c r="O12" s="9"/>
      <c r="P12" s="9"/>
    </row>
    <row r="13" spans="1:16" ht="34.5" x14ac:dyDescent="0.35">
      <c r="A13" s="7" t="s">
        <v>84</v>
      </c>
      <c r="B13" s="8" t="s">
        <v>48</v>
      </c>
      <c r="C13" s="8" t="s">
        <v>85</v>
      </c>
      <c r="D13" s="8" t="s">
        <v>37</v>
      </c>
      <c r="E13" s="8" t="s">
        <v>62</v>
      </c>
      <c r="F13" s="8" t="s">
        <v>51</v>
      </c>
      <c r="G13" s="8" t="s">
        <v>52</v>
      </c>
      <c r="H13" s="8" t="s">
        <v>53</v>
      </c>
      <c r="I13" s="8" t="s">
        <v>54</v>
      </c>
      <c r="J13" s="8" t="s">
        <v>86</v>
      </c>
      <c r="K13" s="9"/>
      <c r="L13" s="9"/>
      <c r="M13" s="9"/>
      <c r="N13" s="9"/>
      <c r="O13" s="9"/>
      <c r="P13" s="9"/>
    </row>
    <row r="14" spans="1:16" ht="46" x14ac:dyDescent="0.35">
      <c r="A14" s="7" t="s">
        <v>87</v>
      </c>
      <c r="B14" s="8" t="s">
        <v>48</v>
      </c>
      <c r="C14" s="8" t="s">
        <v>88</v>
      </c>
      <c r="D14" s="8" t="s">
        <v>37</v>
      </c>
      <c r="E14" s="8" t="s">
        <v>89</v>
      </c>
      <c r="F14" s="8" t="s">
        <v>51</v>
      </c>
      <c r="G14" s="8" t="s">
        <v>52</v>
      </c>
      <c r="H14" s="8" t="s">
        <v>53</v>
      </c>
      <c r="I14" s="8" t="s">
        <v>54</v>
      </c>
      <c r="J14" s="8" t="s">
        <v>90</v>
      </c>
      <c r="K14" s="9"/>
      <c r="L14" s="9"/>
      <c r="M14" s="9"/>
      <c r="N14" s="9"/>
      <c r="O14" s="9"/>
      <c r="P14" s="9"/>
    </row>
    <row r="15" spans="1:16" ht="23" x14ac:dyDescent="0.35">
      <c r="A15" s="7" t="s">
        <v>91</v>
      </c>
      <c r="B15" s="8" t="s">
        <v>48</v>
      </c>
      <c r="C15" s="8" t="s">
        <v>92</v>
      </c>
      <c r="D15" s="8" t="s">
        <v>37</v>
      </c>
      <c r="E15" s="8" t="s">
        <v>70</v>
      </c>
      <c r="F15" s="8" t="s">
        <v>71</v>
      </c>
      <c r="G15" s="8" t="s">
        <v>52</v>
      </c>
      <c r="H15" s="8" t="s">
        <v>53</v>
      </c>
      <c r="I15" s="8" t="s">
        <v>54</v>
      </c>
      <c r="J15" s="8" t="s">
        <v>93</v>
      </c>
      <c r="K15" s="9"/>
      <c r="L15" s="9"/>
      <c r="M15" s="9"/>
      <c r="N15" s="9"/>
      <c r="O15" s="9"/>
      <c r="P15" s="9"/>
    </row>
    <row r="16" spans="1:16" ht="23" x14ac:dyDescent="0.35">
      <c r="A16" s="7" t="s">
        <v>94</v>
      </c>
      <c r="B16" s="8" t="s">
        <v>48</v>
      </c>
      <c r="C16" s="8" t="s">
        <v>95</v>
      </c>
      <c r="D16" s="8" t="s">
        <v>37</v>
      </c>
      <c r="E16" s="8" t="s">
        <v>62</v>
      </c>
      <c r="F16" s="8" t="s">
        <v>51</v>
      </c>
      <c r="G16" s="8" t="s">
        <v>52</v>
      </c>
      <c r="H16" s="8" t="s">
        <v>53</v>
      </c>
      <c r="I16" s="8" t="s">
        <v>54</v>
      </c>
      <c r="J16" s="8" t="s">
        <v>96</v>
      </c>
      <c r="K16" s="9"/>
      <c r="L16" s="9"/>
      <c r="M16" s="9"/>
      <c r="N16" s="9"/>
      <c r="O16" s="9"/>
      <c r="P16" s="9"/>
    </row>
    <row r="17" spans="1:16" ht="34.5" x14ac:dyDescent="0.35">
      <c r="A17" s="7" t="s">
        <v>97</v>
      </c>
      <c r="B17" s="8" t="s">
        <v>48</v>
      </c>
      <c r="C17" s="8" t="s">
        <v>98</v>
      </c>
      <c r="D17" s="8" t="s">
        <v>37</v>
      </c>
      <c r="E17" s="8" t="s">
        <v>62</v>
      </c>
      <c r="F17" s="8" t="s">
        <v>51</v>
      </c>
      <c r="G17" s="8" t="s">
        <v>52</v>
      </c>
      <c r="H17" s="8" t="s">
        <v>53</v>
      </c>
      <c r="I17" s="8" t="s">
        <v>54</v>
      </c>
      <c r="J17" s="8" t="s">
        <v>99</v>
      </c>
      <c r="K17" s="9"/>
      <c r="L17" s="9"/>
      <c r="M17" s="9"/>
      <c r="N17" s="9"/>
      <c r="O17" s="9"/>
      <c r="P17" s="9"/>
    </row>
    <row r="18" spans="1:16" ht="46" x14ac:dyDescent="0.35">
      <c r="A18" s="7" t="s">
        <v>100</v>
      </c>
      <c r="B18" s="8" t="s">
        <v>48</v>
      </c>
      <c r="C18" s="8" t="s">
        <v>101</v>
      </c>
      <c r="D18" s="8" t="s">
        <v>37</v>
      </c>
      <c r="E18" s="8" t="s">
        <v>62</v>
      </c>
      <c r="F18" s="8" t="s">
        <v>51</v>
      </c>
      <c r="G18" s="8" t="s">
        <v>52</v>
      </c>
      <c r="H18" s="8" t="s">
        <v>53</v>
      </c>
      <c r="I18" s="8" t="s">
        <v>54</v>
      </c>
      <c r="J18" s="8" t="s">
        <v>102</v>
      </c>
      <c r="K18" s="9"/>
      <c r="L18" s="9"/>
      <c r="M18" s="9"/>
      <c r="N18" s="9"/>
      <c r="O18" s="9"/>
      <c r="P18" s="9"/>
    </row>
    <row r="19" spans="1:16" ht="34.5" x14ac:dyDescent="0.35">
      <c r="A19" s="7" t="s">
        <v>103</v>
      </c>
      <c r="B19" s="8" t="s">
        <v>48</v>
      </c>
      <c r="C19" s="8" t="s">
        <v>104</v>
      </c>
      <c r="D19" s="8" t="s">
        <v>37</v>
      </c>
      <c r="E19" s="8" t="s">
        <v>62</v>
      </c>
      <c r="F19" s="8" t="s">
        <v>51</v>
      </c>
      <c r="G19" s="8" t="s">
        <v>52</v>
      </c>
      <c r="H19" s="8" t="s">
        <v>53</v>
      </c>
      <c r="I19" s="8" t="s">
        <v>54</v>
      </c>
      <c r="J19" s="8" t="s">
        <v>105</v>
      </c>
      <c r="K19" s="9"/>
      <c r="L19" s="9"/>
      <c r="M19" s="9"/>
      <c r="N19" s="9"/>
      <c r="O19" s="9"/>
      <c r="P19" s="9"/>
    </row>
    <row r="20" spans="1:16" ht="34.5" x14ac:dyDescent="0.35">
      <c r="A20" s="7" t="s">
        <v>106</v>
      </c>
      <c r="B20" s="8" t="s">
        <v>48</v>
      </c>
      <c r="C20" s="8" t="s">
        <v>107</v>
      </c>
      <c r="D20" s="8" t="s">
        <v>37</v>
      </c>
      <c r="E20" s="8" t="s">
        <v>108</v>
      </c>
      <c r="F20" s="8" t="s">
        <v>51</v>
      </c>
      <c r="G20" s="8" t="s">
        <v>52</v>
      </c>
      <c r="H20" s="8" t="s">
        <v>53</v>
      </c>
      <c r="I20" s="8" t="s">
        <v>54</v>
      </c>
      <c r="J20" s="8" t="s">
        <v>109</v>
      </c>
      <c r="K20" s="9"/>
      <c r="L20" s="9"/>
      <c r="M20" s="9"/>
      <c r="N20" s="9"/>
      <c r="O20" s="9"/>
      <c r="P20" s="9"/>
    </row>
    <row r="21" spans="1:16" ht="23" x14ac:dyDescent="0.35">
      <c r="A21" s="7" t="s">
        <v>110</v>
      </c>
      <c r="B21" s="8" t="s">
        <v>48</v>
      </c>
      <c r="C21" s="8" t="s">
        <v>111</v>
      </c>
      <c r="D21" s="8" t="s">
        <v>37</v>
      </c>
      <c r="E21" s="8" t="s">
        <v>108</v>
      </c>
      <c r="F21" s="8" t="s">
        <v>51</v>
      </c>
      <c r="G21" s="8" t="s">
        <v>52</v>
      </c>
      <c r="H21" s="8" t="s">
        <v>53</v>
      </c>
      <c r="I21" s="8" t="s">
        <v>54</v>
      </c>
      <c r="J21" s="8" t="s">
        <v>112</v>
      </c>
      <c r="K21" s="9"/>
      <c r="L21" s="9"/>
      <c r="M21" s="9"/>
      <c r="N21" s="9"/>
      <c r="O21" s="9"/>
      <c r="P21" s="9"/>
    </row>
    <row r="22" spans="1:16" ht="23" x14ac:dyDescent="0.35">
      <c r="A22" s="7" t="s">
        <v>113</v>
      </c>
      <c r="B22" s="8" t="s">
        <v>48</v>
      </c>
      <c r="C22" s="8" t="s">
        <v>114</v>
      </c>
      <c r="D22" s="8" t="s">
        <v>37</v>
      </c>
      <c r="E22" s="8" t="s">
        <v>70</v>
      </c>
      <c r="F22" s="8" t="s">
        <v>71</v>
      </c>
      <c r="G22" s="8" t="s">
        <v>52</v>
      </c>
      <c r="H22" s="8" t="s">
        <v>53</v>
      </c>
      <c r="I22" s="8" t="s">
        <v>54</v>
      </c>
      <c r="J22" s="8" t="s">
        <v>115</v>
      </c>
      <c r="K22" s="9"/>
      <c r="L22" s="9"/>
      <c r="M22" s="9"/>
      <c r="N22" s="9"/>
      <c r="O22" s="9"/>
      <c r="P22" s="9"/>
    </row>
    <row r="23" spans="1:16" ht="23" x14ac:dyDescent="0.35">
      <c r="A23" s="7" t="s">
        <v>116</v>
      </c>
      <c r="B23" s="8" t="s">
        <v>48</v>
      </c>
      <c r="C23" s="8" t="s">
        <v>117</v>
      </c>
      <c r="D23" s="8" t="s">
        <v>37</v>
      </c>
      <c r="E23" s="8" t="s">
        <v>70</v>
      </c>
      <c r="F23" s="8" t="s">
        <v>71</v>
      </c>
      <c r="G23" s="8" t="s">
        <v>52</v>
      </c>
      <c r="H23" s="8" t="s">
        <v>53</v>
      </c>
      <c r="I23" s="8" t="s">
        <v>54</v>
      </c>
      <c r="J23" s="8" t="s">
        <v>118</v>
      </c>
      <c r="K23" s="9"/>
      <c r="L23" s="9"/>
      <c r="M23" s="9"/>
      <c r="N23" s="9"/>
      <c r="O23" s="9"/>
      <c r="P23" s="9"/>
    </row>
    <row r="24" spans="1:16" ht="23" x14ac:dyDescent="0.35">
      <c r="A24" s="7" t="s">
        <v>119</v>
      </c>
      <c r="B24" s="8" t="s">
        <v>48</v>
      </c>
      <c r="C24" s="8" t="s">
        <v>120</v>
      </c>
      <c r="D24" s="8" t="s">
        <v>37</v>
      </c>
      <c r="E24" s="8" t="s">
        <v>70</v>
      </c>
      <c r="F24" s="8" t="s">
        <v>71</v>
      </c>
      <c r="G24" s="8" t="s">
        <v>52</v>
      </c>
      <c r="H24" s="8" t="s">
        <v>53</v>
      </c>
      <c r="I24" s="8" t="s">
        <v>54</v>
      </c>
      <c r="J24" s="8" t="s">
        <v>121</v>
      </c>
      <c r="K24" s="9"/>
      <c r="L24" s="9"/>
      <c r="M24" s="9"/>
      <c r="N24" s="9"/>
      <c r="O24" s="9"/>
      <c r="P24" s="9"/>
    </row>
    <row r="25" spans="1:16" ht="80.5" x14ac:dyDescent="0.35">
      <c r="A25" s="7" t="s">
        <v>122</v>
      </c>
      <c r="B25" s="8" t="s">
        <v>48</v>
      </c>
      <c r="C25" s="8" t="s">
        <v>123</v>
      </c>
      <c r="D25" s="8" t="s">
        <v>37</v>
      </c>
      <c r="E25" s="8" t="s">
        <v>124</v>
      </c>
      <c r="F25" s="8" t="s">
        <v>51</v>
      </c>
      <c r="G25" s="8" t="s">
        <v>52</v>
      </c>
      <c r="H25" s="8" t="s">
        <v>53</v>
      </c>
      <c r="I25" s="8" t="s">
        <v>54</v>
      </c>
      <c r="J25" s="8" t="s">
        <v>125</v>
      </c>
      <c r="K25" s="9"/>
      <c r="L25" s="9"/>
      <c r="M25" s="9"/>
      <c r="N25" s="9"/>
      <c r="O25" s="9"/>
      <c r="P25" s="9"/>
    </row>
    <row r="26" spans="1:16" x14ac:dyDescent="0.35">
      <c r="A26" s="22" t="s">
        <v>126</v>
      </c>
      <c r="B26" s="23"/>
      <c r="C26" s="23"/>
      <c r="D26" s="23"/>
      <c r="E26" s="23"/>
      <c r="F26" s="23"/>
      <c r="G26" s="23"/>
      <c r="H26" s="23"/>
      <c r="I26" s="23"/>
      <c r="J26" s="23"/>
      <c r="K26" s="6"/>
      <c r="L26" s="6"/>
      <c r="M26" s="6"/>
      <c r="N26" s="6"/>
      <c r="O26" s="6"/>
      <c r="P26" s="6"/>
    </row>
    <row r="27" spans="1:16" ht="23" x14ac:dyDescent="0.35">
      <c r="A27" s="7" t="s">
        <v>127</v>
      </c>
      <c r="B27" s="8" t="s">
        <v>128</v>
      </c>
      <c r="C27" s="8" t="s">
        <v>129</v>
      </c>
      <c r="D27" s="8" t="s">
        <v>130</v>
      </c>
      <c r="E27" s="8" t="s">
        <v>131</v>
      </c>
      <c r="F27" s="8" t="s">
        <v>132</v>
      </c>
      <c r="G27" s="8" t="s">
        <v>40</v>
      </c>
      <c r="H27" s="8" t="s">
        <v>133</v>
      </c>
      <c r="I27" s="8" t="s">
        <v>54</v>
      </c>
      <c r="J27" s="8" t="s">
        <v>134</v>
      </c>
      <c r="K27" s="9"/>
      <c r="L27" s="9"/>
      <c r="M27" s="9"/>
      <c r="N27" s="9"/>
      <c r="O27" s="9"/>
      <c r="P27" s="9"/>
    </row>
    <row r="28" spans="1:16" ht="23" x14ac:dyDescent="0.35">
      <c r="A28" s="7" t="s">
        <v>135</v>
      </c>
      <c r="B28" s="8" t="s">
        <v>136</v>
      </c>
      <c r="C28" s="8" t="s">
        <v>137</v>
      </c>
      <c r="D28" s="8" t="s">
        <v>138</v>
      </c>
      <c r="E28" s="8" t="s">
        <v>139</v>
      </c>
      <c r="F28" s="8" t="s">
        <v>140</v>
      </c>
      <c r="G28" s="8" t="s">
        <v>52</v>
      </c>
      <c r="H28" s="8" t="s">
        <v>141</v>
      </c>
      <c r="I28" s="8" t="s">
        <v>54</v>
      </c>
      <c r="J28" s="8" t="s">
        <v>142</v>
      </c>
      <c r="K28" s="9"/>
      <c r="L28" s="9"/>
      <c r="M28" s="9"/>
      <c r="N28" s="9"/>
      <c r="O28" s="9"/>
      <c r="P28" s="9"/>
    </row>
    <row r="29" spans="1:16" ht="34.5" x14ac:dyDescent="0.35">
      <c r="A29" s="7" t="s">
        <v>143</v>
      </c>
      <c r="B29" s="8" t="s">
        <v>136</v>
      </c>
      <c r="C29" s="8" t="s">
        <v>144</v>
      </c>
      <c r="D29" s="8" t="s">
        <v>145</v>
      </c>
      <c r="E29" s="8" t="s">
        <v>139</v>
      </c>
      <c r="F29" s="8" t="s">
        <v>140</v>
      </c>
      <c r="G29" s="8" t="s">
        <v>52</v>
      </c>
      <c r="H29" s="8" t="s">
        <v>141</v>
      </c>
      <c r="I29" s="8" t="s">
        <v>54</v>
      </c>
      <c r="J29" s="8" t="s">
        <v>146</v>
      </c>
      <c r="K29" s="9"/>
      <c r="L29" s="9"/>
      <c r="M29" s="9"/>
      <c r="N29" s="9"/>
      <c r="O29" s="9"/>
      <c r="P29" s="9"/>
    </row>
    <row r="30" spans="1:16" ht="23" x14ac:dyDescent="0.35">
      <c r="A30" s="7" t="s">
        <v>147</v>
      </c>
      <c r="B30" s="8" t="s">
        <v>148</v>
      </c>
      <c r="C30" s="8" t="s">
        <v>149</v>
      </c>
      <c r="D30" s="8" t="s">
        <v>130</v>
      </c>
      <c r="E30" s="8" t="s">
        <v>150</v>
      </c>
      <c r="F30" s="8" t="s">
        <v>44</v>
      </c>
      <c r="G30" s="8" t="s">
        <v>40</v>
      </c>
      <c r="H30" s="8" t="s">
        <v>133</v>
      </c>
      <c r="I30" s="8" t="s">
        <v>151</v>
      </c>
      <c r="J30" s="8" t="s">
        <v>152</v>
      </c>
      <c r="K30" s="9"/>
      <c r="L30" s="9"/>
      <c r="M30" s="9"/>
      <c r="N30" s="9"/>
      <c r="O30" s="9"/>
      <c r="P30" s="9"/>
    </row>
    <row r="31" spans="1:16" x14ac:dyDescent="0.35">
      <c r="A31" s="22" t="s">
        <v>153</v>
      </c>
      <c r="B31" s="23"/>
      <c r="C31" s="23"/>
      <c r="D31" s="23"/>
      <c r="E31" s="23"/>
      <c r="F31" s="23"/>
      <c r="G31" s="23"/>
      <c r="H31" s="23"/>
      <c r="I31" s="23"/>
      <c r="J31" s="23"/>
      <c r="K31" s="6"/>
      <c r="L31" s="6"/>
      <c r="M31" s="6"/>
      <c r="N31" s="6"/>
      <c r="O31" s="6"/>
      <c r="P31" s="6"/>
    </row>
    <row r="32" spans="1:16" ht="23" x14ac:dyDescent="0.35">
      <c r="A32" s="7" t="s">
        <v>154</v>
      </c>
      <c r="B32" s="8" t="s">
        <v>155</v>
      </c>
      <c r="C32" s="8" t="s">
        <v>156</v>
      </c>
      <c r="D32" s="8" t="s">
        <v>145</v>
      </c>
      <c r="E32" s="8" t="s">
        <v>157</v>
      </c>
      <c r="F32" s="8" t="s">
        <v>158</v>
      </c>
      <c r="G32" s="8" t="s">
        <v>40</v>
      </c>
      <c r="H32" s="8" t="s">
        <v>141</v>
      </c>
      <c r="I32" s="8" t="s">
        <v>159</v>
      </c>
      <c r="J32" s="8" t="s">
        <v>160</v>
      </c>
      <c r="K32" s="9"/>
      <c r="L32" s="9"/>
      <c r="M32" s="9"/>
      <c r="N32" s="9"/>
      <c r="O32" s="9"/>
      <c r="P32" s="9"/>
    </row>
    <row r="33" spans="1:16" x14ac:dyDescent="0.35">
      <c r="A33" s="7" t="s">
        <v>161</v>
      </c>
      <c r="B33" s="8" t="s">
        <v>155</v>
      </c>
      <c r="C33" s="8" t="s">
        <v>162</v>
      </c>
      <c r="D33" s="8" t="s">
        <v>145</v>
      </c>
      <c r="E33" s="8" t="s">
        <v>163</v>
      </c>
      <c r="F33" s="8" t="s">
        <v>158</v>
      </c>
      <c r="G33" s="8" t="s">
        <v>40</v>
      </c>
      <c r="H33" s="8" t="s">
        <v>141</v>
      </c>
      <c r="I33" s="8" t="s">
        <v>159</v>
      </c>
      <c r="J33" s="8" t="s">
        <v>164</v>
      </c>
      <c r="K33" s="9"/>
      <c r="L33" s="9"/>
      <c r="M33" s="9"/>
      <c r="N33" s="9"/>
      <c r="O33" s="9"/>
      <c r="P33" s="9"/>
    </row>
    <row r="34" spans="1:16" x14ac:dyDescent="0.35">
      <c r="A34" s="7" t="s">
        <v>165</v>
      </c>
      <c r="B34" s="8" t="s">
        <v>155</v>
      </c>
      <c r="C34" s="8" t="s">
        <v>166</v>
      </c>
      <c r="D34" s="8" t="s">
        <v>145</v>
      </c>
      <c r="E34" s="8" t="s">
        <v>163</v>
      </c>
      <c r="F34" s="8" t="s">
        <v>158</v>
      </c>
      <c r="G34" s="8" t="s">
        <v>40</v>
      </c>
      <c r="H34" s="8" t="s">
        <v>141</v>
      </c>
      <c r="I34" s="8" t="s">
        <v>159</v>
      </c>
      <c r="J34" s="8" t="s">
        <v>167</v>
      </c>
      <c r="K34" s="9"/>
      <c r="L34" s="9"/>
      <c r="M34" s="9"/>
      <c r="N34" s="9"/>
      <c r="O34" s="9"/>
      <c r="P34" s="9"/>
    </row>
    <row r="35" spans="1:16" x14ac:dyDescent="0.35">
      <c r="A35" s="22" t="s">
        <v>168</v>
      </c>
      <c r="B35" s="23"/>
      <c r="C35" s="23"/>
      <c r="D35" s="23"/>
      <c r="E35" s="23"/>
      <c r="F35" s="23"/>
      <c r="G35" s="23"/>
      <c r="H35" s="23"/>
      <c r="I35" s="23"/>
      <c r="J35" s="23"/>
      <c r="K35" s="6"/>
      <c r="L35" s="6"/>
      <c r="M35" s="6"/>
      <c r="N35" s="6"/>
      <c r="O35" s="6"/>
      <c r="P35" s="6"/>
    </row>
    <row r="36" spans="1:16" ht="23" x14ac:dyDescent="0.35">
      <c r="A36" s="7" t="s">
        <v>169</v>
      </c>
      <c r="B36" s="8" t="s">
        <v>170</v>
      </c>
      <c r="C36" s="8" t="s">
        <v>171</v>
      </c>
      <c r="D36" s="8" t="s">
        <v>37</v>
      </c>
      <c r="E36" s="8" t="s">
        <v>150</v>
      </c>
      <c r="F36" s="8" t="s">
        <v>44</v>
      </c>
      <c r="G36" s="8" t="s">
        <v>40</v>
      </c>
      <c r="H36" s="8" t="s">
        <v>172</v>
      </c>
      <c r="I36" s="8" t="s">
        <v>173</v>
      </c>
      <c r="J36" s="8" t="s">
        <v>174</v>
      </c>
      <c r="K36" s="9"/>
      <c r="L36" s="9"/>
      <c r="M36" s="9"/>
      <c r="N36" s="9"/>
      <c r="O36" s="9"/>
      <c r="P36" s="9"/>
    </row>
    <row r="37" spans="1:16" ht="23" x14ac:dyDescent="0.35">
      <c r="A37" s="7" t="s">
        <v>175</v>
      </c>
      <c r="B37" s="8" t="s">
        <v>170</v>
      </c>
      <c r="C37" s="8" t="s">
        <v>176</v>
      </c>
      <c r="D37" s="8" t="s">
        <v>37</v>
      </c>
      <c r="E37" s="8" t="s">
        <v>177</v>
      </c>
      <c r="F37" s="8" t="s">
        <v>178</v>
      </c>
      <c r="G37" s="8" t="s">
        <v>52</v>
      </c>
      <c r="H37" s="8" t="s">
        <v>172</v>
      </c>
      <c r="I37" s="8" t="s">
        <v>173</v>
      </c>
      <c r="J37" s="8" t="s">
        <v>179</v>
      </c>
      <c r="K37" s="9"/>
      <c r="L37" s="9"/>
      <c r="M37" s="9"/>
      <c r="N37" s="9"/>
      <c r="O37" s="9"/>
      <c r="P37" s="9"/>
    </row>
    <row r="38" spans="1:16" ht="23" x14ac:dyDescent="0.35">
      <c r="A38" s="7" t="s">
        <v>180</v>
      </c>
      <c r="B38" s="8" t="s">
        <v>170</v>
      </c>
      <c r="C38" s="8" t="s">
        <v>181</v>
      </c>
      <c r="D38" s="8" t="s">
        <v>37</v>
      </c>
      <c r="E38" s="8" t="s">
        <v>177</v>
      </c>
      <c r="F38" s="8" t="s">
        <v>178</v>
      </c>
      <c r="G38" s="8" t="s">
        <v>52</v>
      </c>
      <c r="H38" s="8" t="s">
        <v>172</v>
      </c>
      <c r="I38" s="8" t="s">
        <v>173</v>
      </c>
      <c r="J38" s="8" t="s">
        <v>182</v>
      </c>
      <c r="K38" s="9"/>
      <c r="L38" s="9"/>
      <c r="M38" s="9"/>
      <c r="N38" s="9"/>
      <c r="O38" s="9"/>
      <c r="P38" s="9"/>
    </row>
    <row r="39" spans="1:16" ht="23" x14ac:dyDescent="0.35">
      <c r="A39" s="7" t="s">
        <v>183</v>
      </c>
      <c r="B39" s="8" t="s">
        <v>170</v>
      </c>
      <c r="C39" s="8" t="s">
        <v>184</v>
      </c>
      <c r="D39" s="8" t="s">
        <v>37</v>
      </c>
      <c r="E39" s="8" t="s">
        <v>185</v>
      </c>
      <c r="F39" s="8" t="s">
        <v>186</v>
      </c>
      <c r="G39" s="8" t="s">
        <v>40</v>
      </c>
      <c r="H39" s="8" t="s">
        <v>172</v>
      </c>
      <c r="I39" s="8" t="s">
        <v>187</v>
      </c>
      <c r="J39" s="8" t="s">
        <v>188</v>
      </c>
      <c r="K39" s="9"/>
      <c r="L39" s="9"/>
      <c r="M39" s="9"/>
      <c r="N39" s="9"/>
      <c r="O39" s="9"/>
      <c r="P39" s="9"/>
    </row>
    <row r="40" spans="1:16" ht="23" x14ac:dyDescent="0.35">
      <c r="A40" s="7" t="s">
        <v>189</v>
      </c>
      <c r="B40" s="8" t="s">
        <v>170</v>
      </c>
      <c r="C40" s="8" t="s">
        <v>190</v>
      </c>
      <c r="D40" s="8" t="s">
        <v>37</v>
      </c>
      <c r="E40" s="8" t="s">
        <v>191</v>
      </c>
      <c r="F40" s="8" t="s">
        <v>192</v>
      </c>
      <c r="G40" s="8" t="s">
        <v>40</v>
      </c>
      <c r="H40" s="8" t="s">
        <v>172</v>
      </c>
      <c r="I40" s="8" t="s">
        <v>187</v>
      </c>
      <c r="J40" s="8" t="s">
        <v>193</v>
      </c>
      <c r="K40" s="9"/>
      <c r="L40" s="9"/>
      <c r="M40" s="9"/>
      <c r="N40" s="9"/>
      <c r="O40" s="9"/>
      <c r="P40" s="9"/>
    </row>
    <row r="41" spans="1:16" ht="23" x14ac:dyDescent="0.35">
      <c r="A41" s="7" t="s">
        <v>194</v>
      </c>
      <c r="B41" s="8" t="s">
        <v>170</v>
      </c>
      <c r="C41" s="8" t="s">
        <v>195</v>
      </c>
      <c r="D41" s="8" t="s">
        <v>37</v>
      </c>
      <c r="E41" s="8" t="s">
        <v>191</v>
      </c>
      <c r="F41" s="8" t="s">
        <v>192</v>
      </c>
      <c r="G41" s="8" t="s">
        <v>40</v>
      </c>
      <c r="H41" s="8" t="s">
        <v>172</v>
      </c>
      <c r="I41" s="8" t="s">
        <v>187</v>
      </c>
      <c r="J41" s="8" t="s">
        <v>196</v>
      </c>
      <c r="K41" s="9"/>
      <c r="L41" s="9"/>
      <c r="M41" s="9"/>
      <c r="N41" s="9"/>
      <c r="O41" s="9"/>
      <c r="P41" s="9"/>
    </row>
    <row r="42" spans="1:16" x14ac:dyDescent="0.35">
      <c r="A42" s="22" t="s">
        <v>197</v>
      </c>
      <c r="B42" s="23"/>
      <c r="C42" s="23"/>
      <c r="D42" s="23"/>
      <c r="E42" s="23"/>
      <c r="F42" s="23"/>
      <c r="G42" s="23"/>
      <c r="H42" s="23"/>
      <c r="I42" s="23"/>
      <c r="J42" s="23"/>
      <c r="K42" s="6"/>
      <c r="L42" s="6"/>
      <c r="M42" s="6"/>
      <c r="N42" s="6"/>
      <c r="O42" s="6"/>
      <c r="P42" s="6"/>
    </row>
    <row r="43" spans="1:16" ht="23" x14ac:dyDescent="0.35">
      <c r="A43" s="7" t="s">
        <v>198</v>
      </c>
      <c r="B43" s="8" t="s">
        <v>199</v>
      </c>
      <c r="C43" s="8" t="s">
        <v>200</v>
      </c>
      <c r="D43" s="8" t="s">
        <v>130</v>
      </c>
      <c r="E43" s="8" t="s">
        <v>201</v>
      </c>
      <c r="F43" s="8" t="s">
        <v>202</v>
      </c>
      <c r="G43" s="8" t="s">
        <v>52</v>
      </c>
      <c r="H43" s="8" t="s">
        <v>133</v>
      </c>
      <c r="I43" s="8" t="s">
        <v>203</v>
      </c>
      <c r="J43" s="8" t="s">
        <v>204</v>
      </c>
      <c r="K43" s="9"/>
      <c r="L43" s="9"/>
      <c r="M43" s="9"/>
      <c r="N43" s="9"/>
      <c r="O43" s="9"/>
      <c r="P43" s="9"/>
    </row>
    <row r="44" spans="1:16" ht="23" x14ac:dyDescent="0.35">
      <c r="A44" s="7" t="s">
        <v>205</v>
      </c>
      <c r="B44" s="8" t="s">
        <v>199</v>
      </c>
      <c r="C44" s="8" t="s">
        <v>206</v>
      </c>
      <c r="D44" s="8" t="s">
        <v>130</v>
      </c>
      <c r="E44" s="8" t="s">
        <v>207</v>
      </c>
      <c r="F44" s="8" t="s">
        <v>202</v>
      </c>
      <c r="G44" s="8" t="s">
        <v>52</v>
      </c>
      <c r="H44" s="8" t="s">
        <v>133</v>
      </c>
      <c r="I44" s="8" t="s">
        <v>203</v>
      </c>
      <c r="J44" s="8" t="s">
        <v>204</v>
      </c>
      <c r="K44" s="9"/>
      <c r="L44" s="9"/>
      <c r="M44" s="9"/>
      <c r="N44" s="9"/>
      <c r="O44" s="9"/>
      <c r="P44" s="9"/>
    </row>
    <row r="45" spans="1:16" ht="23" x14ac:dyDescent="0.35">
      <c r="A45" s="7" t="s">
        <v>208</v>
      </c>
      <c r="B45" s="8" t="s">
        <v>199</v>
      </c>
      <c r="C45" s="8" t="s">
        <v>209</v>
      </c>
      <c r="D45" s="8" t="s">
        <v>130</v>
      </c>
      <c r="E45" s="8" t="s">
        <v>210</v>
      </c>
      <c r="F45" s="8" t="s">
        <v>202</v>
      </c>
      <c r="G45" s="8" t="s">
        <v>52</v>
      </c>
      <c r="H45" s="8" t="s">
        <v>133</v>
      </c>
      <c r="I45" s="8" t="s">
        <v>203</v>
      </c>
      <c r="J45" s="8" t="s">
        <v>204</v>
      </c>
      <c r="K45" s="9"/>
      <c r="L45" s="9"/>
      <c r="M45" s="9"/>
      <c r="N45" s="9"/>
      <c r="O45" s="9"/>
      <c r="P45" s="9"/>
    </row>
    <row r="46" spans="1:16" ht="57.5" x14ac:dyDescent="0.35">
      <c r="A46" s="7" t="s">
        <v>211</v>
      </c>
      <c r="B46" s="8" t="s">
        <v>199</v>
      </c>
      <c r="C46" s="8" t="s">
        <v>212</v>
      </c>
      <c r="D46" s="8" t="s">
        <v>130</v>
      </c>
      <c r="E46" s="8" t="s">
        <v>213</v>
      </c>
      <c r="F46" s="8" t="s">
        <v>202</v>
      </c>
      <c r="G46" s="8" t="s">
        <v>214</v>
      </c>
      <c r="H46" s="8" t="s">
        <v>133</v>
      </c>
      <c r="I46" s="8" t="s">
        <v>203</v>
      </c>
      <c r="J46" s="8" t="s">
        <v>204</v>
      </c>
      <c r="K46" s="9"/>
      <c r="L46" s="9"/>
      <c r="M46" s="9"/>
      <c r="N46" s="9"/>
      <c r="O46" s="9"/>
      <c r="P46" s="9"/>
    </row>
    <row r="47" spans="1:16" ht="23" x14ac:dyDescent="0.35">
      <c r="A47" s="7" t="s">
        <v>215</v>
      </c>
      <c r="B47" s="8" t="s">
        <v>199</v>
      </c>
      <c r="C47" s="8" t="s">
        <v>216</v>
      </c>
      <c r="D47" s="8" t="s">
        <v>130</v>
      </c>
      <c r="E47" s="8" t="s">
        <v>217</v>
      </c>
      <c r="F47" s="8" t="s">
        <v>202</v>
      </c>
      <c r="G47" s="8" t="s">
        <v>52</v>
      </c>
      <c r="H47" s="8" t="s">
        <v>133</v>
      </c>
      <c r="I47" s="8" t="s">
        <v>203</v>
      </c>
      <c r="J47" s="8" t="s">
        <v>204</v>
      </c>
      <c r="K47" s="9"/>
      <c r="L47" s="9"/>
      <c r="M47" s="9"/>
      <c r="N47" s="9"/>
      <c r="O47" s="9"/>
      <c r="P47" s="9"/>
    </row>
    <row r="48" spans="1:16" ht="23" x14ac:dyDescent="0.35">
      <c r="A48" s="7" t="s">
        <v>218</v>
      </c>
      <c r="B48" s="8" t="s">
        <v>199</v>
      </c>
      <c r="C48" s="8" t="s">
        <v>219</v>
      </c>
      <c r="D48" s="8" t="s">
        <v>130</v>
      </c>
      <c r="E48" s="8" t="s">
        <v>220</v>
      </c>
      <c r="F48" s="8" t="s">
        <v>202</v>
      </c>
      <c r="G48" s="8" t="s">
        <v>52</v>
      </c>
      <c r="H48" s="8" t="s">
        <v>133</v>
      </c>
      <c r="I48" s="8" t="s">
        <v>203</v>
      </c>
      <c r="J48" s="8" t="s">
        <v>204</v>
      </c>
      <c r="K48" s="9"/>
      <c r="L48" s="9"/>
      <c r="M48" s="9"/>
      <c r="N48" s="9"/>
      <c r="O48" s="9"/>
      <c r="P48" s="9"/>
    </row>
    <row r="49" spans="1:16" ht="23" x14ac:dyDescent="0.35">
      <c r="A49" s="7" t="s">
        <v>221</v>
      </c>
      <c r="B49" s="8" t="s">
        <v>199</v>
      </c>
      <c r="C49" s="8" t="s">
        <v>222</v>
      </c>
      <c r="D49" s="8" t="s">
        <v>130</v>
      </c>
      <c r="E49" s="8" t="s">
        <v>223</v>
      </c>
      <c r="F49" s="8" t="s">
        <v>202</v>
      </c>
      <c r="G49" s="8" t="s">
        <v>52</v>
      </c>
      <c r="H49" s="8" t="s">
        <v>133</v>
      </c>
      <c r="I49" s="8" t="s">
        <v>203</v>
      </c>
      <c r="J49" s="8" t="s">
        <v>204</v>
      </c>
      <c r="K49" s="9"/>
      <c r="L49" s="9"/>
      <c r="M49" s="9"/>
      <c r="N49" s="9"/>
      <c r="O49" s="9"/>
      <c r="P49" s="9"/>
    </row>
    <row r="50" spans="1:16" ht="23" x14ac:dyDescent="0.35">
      <c r="A50" s="7" t="s">
        <v>224</v>
      </c>
      <c r="B50" s="8" t="s">
        <v>199</v>
      </c>
      <c r="C50" s="8" t="s">
        <v>225</v>
      </c>
      <c r="D50" s="8" t="s">
        <v>130</v>
      </c>
      <c r="E50" s="8" t="s">
        <v>226</v>
      </c>
      <c r="F50" s="8" t="s">
        <v>202</v>
      </c>
      <c r="G50" s="8" t="s">
        <v>52</v>
      </c>
      <c r="H50" s="8" t="s">
        <v>133</v>
      </c>
      <c r="I50" s="8" t="s">
        <v>203</v>
      </c>
      <c r="J50" s="8" t="s">
        <v>227</v>
      </c>
      <c r="K50" s="9"/>
      <c r="L50" s="9"/>
      <c r="M50" s="9"/>
      <c r="N50" s="9"/>
      <c r="O50" s="9"/>
      <c r="P50" s="9"/>
    </row>
    <row r="51" spans="1:16" x14ac:dyDescent="0.35">
      <c r="A51" s="7" t="s">
        <v>228</v>
      </c>
      <c r="B51" s="8" t="s">
        <v>199</v>
      </c>
      <c r="C51" s="8" t="s">
        <v>229</v>
      </c>
      <c r="D51" s="8" t="s">
        <v>130</v>
      </c>
      <c r="E51" s="8" t="s">
        <v>230</v>
      </c>
      <c r="F51" s="8" t="s">
        <v>202</v>
      </c>
      <c r="G51" s="8" t="s">
        <v>52</v>
      </c>
      <c r="H51" s="8" t="s">
        <v>133</v>
      </c>
      <c r="I51" s="8" t="s">
        <v>203</v>
      </c>
      <c r="J51" s="8" t="s">
        <v>227</v>
      </c>
      <c r="K51" s="9"/>
      <c r="L51" s="9"/>
      <c r="M51" s="9"/>
      <c r="N51" s="9"/>
      <c r="O51" s="9"/>
      <c r="P51" s="9"/>
    </row>
    <row r="52" spans="1:16" x14ac:dyDescent="0.35">
      <c r="A52" s="22" t="s">
        <v>231</v>
      </c>
      <c r="B52" s="23"/>
      <c r="C52" s="23"/>
      <c r="D52" s="23"/>
      <c r="E52" s="23"/>
      <c r="F52" s="23"/>
      <c r="G52" s="23"/>
      <c r="H52" s="23"/>
      <c r="I52" s="23"/>
      <c r="J52" s="23"/>
      <c r="K52" s="6"/>
      <c r="L52" s="6"/>
      <c r="M52" s="6"/>
      <c r="N52" s="6"/>
      <c r="O52" s="6"/>
      <c r="P52" s="6"/>
    </row>
    <row r="53" spans="1:16" ht="23" x14ac:dyDescent="0.35">
      <c r="A53" s="7" t="s">
        <v>232</v>
      </c>
      <c r="B53" s="8" t="s">
        <v>233</v>
      </c>
      <c r="C53" s="8" t="s">
        <v>234</v>
      </c>
      <c r="D53" s="8" t="s">
        <v>235</v>
      </c>
      <c r="E53" s="8" t="s">
        <v>236</v>
      </c>
      <c r="F53" s="8" t="s">
        <v>237</v>
      </c>
      <c r="G53" s="8" t="s">
        <v>238</v>
      </c>
      <c r="H53" s="8" t="s">
        <v>239</v>
      </c>
      <c r="I53" s="8" t="s">
        <v>240</v>
      </c>
      <c r="J53" s="8" t="s">
        <v>241</v>
      </c>
      <c r="K53" s="9"/>
      <c r="L53" s="9"/>
      <c r="M53" s="9"/>
      <c r="N53" s="9"/>
      <c r="O53" s="9"/>
      <c r="P53" s="9"/>
    </row>
    <row r="54" spans="1:16" x14ac:dyDescent="0.35">
      <c r="A54" s="7" t="s">
        <v>242</v>
      </c>
      <c r="B54" s="8" t="s">
        <v>243</v>
      </c>
      <c r="C54" s="8" t="s">
        <v>244</v>
      </c>
      <c r="D54" s="8" t="s">
        <v>37</v>
      </c>
      <c r="E54" s="8" t="s">
        <v>245</v>
      </c>
      <c r="F54" s="8" t="s">
        <v>246</v>
      </c>
      <c r="G54" s="8" t="s">
        <v>238</v>
      </c>
      <c r="H54" s="8" t="s">
        <v>239</v>
      </c>
      <c r="I54" s="8" t="s">
        <v>247</v>
      </c>
      <c r="J54" s="8" t="s">
        <v>248</v>
      </c>
      <c r="K54" s="9"/>
      <c r="L54" s="9"/>
      <c r="M54" s="9"/>
      <c r="N54" s="9"/>
      <c r="O54" s="9"/>
      <c r="P54" s="9"/>
    </row>
    <row r="55" spans="1:16" x14ac:dyDescent="0.35">
      <c r="A55" s="22" t="s">
        <v>249</v>
      </c>
      <c r="B55" s="23"/>
      <c r="C55" s="23"/>
      <c r="D55" s="23"/>
      <c r="E55" s="23"/>
      <c r="F55" s="23"/>
      <c r="G55" s="23"/>
      <c r="H55" s="23"/>
      <c r="I55" s="23"/>
      <c r="J55" s="23"/>
      <c r="K55" s="6"/>
      <c r="L55" s="6"/>
      <c r="M55" s="6"/>
      <c r="N55" s="6"/>
      <c r="O55" s="6"/>
      <c r="P55" s="6"/>
    </row>
    <row r="56" spans="1:16" ht="23" x14ac:dyDescent="0.35">
      <c r="A56" s="7" t="s">
        <v>250</v>
      </c>
      <c r="B56" s="8" t="s">
        <v>251</v>
      </c>
      <c r="C56" s="8" t="s">
        <v>252</v>
      </c>
      <c r="D56" s="8" t="s">
        <v>37</v>
      </c>
      <c r="E56" s="8" t="s">
        <v>177</v>
      </c>
      <c r="F56" s="8" t="s">
        <v>178</v>
      </c>
      <c r="G56" s="8" t="s">
        <v>40</v>
      </c>
      <c r="H56" s="8" t="s">
        <v>239</v>
      </c>
      <c r="I56" s="8" t="s">
        <v>253</v>
      </c>
      <c r="J56" s="8" t="s">
        <v>254</v>
      </c>
      <c r="K56" s="9"/>
      <c r="L56" s="9"/>
      <c r="M56" s="9"/>
      <c r="N56" s="9"/>
      <c r="O56" s="9"/>
      <c r="P56" s="9"/>
    </row>
    <row r="57" spans="1:16" ht="23" x14ac:dyDescent="0.35">
      <c r="A57" s="7" t="s">
        <v>255</v>
      </c>
      <c r="B57" s="8" t="s">
        <v>253</v>
      </c>
      <c r="C57" s="8" t="s">
        <v>256</v>
      </c>
      <c r="D57" s="8" t="s">
        <v>37</v>
      </c>
      <c r="E57" s="8" t="s">
        <v>257</v>
      </c>
      <c r="F57" s="8" t="s">
        <v>258</v>
      </c>
      <c r="G57" s="8" t="s">
        <v>40</v>
      </c>
      <c r="H57" s="8" t="s">
        <v>239</v>
      </c>
      <c r="I57" s="8" t="s">
        <v>253</v>
      </c>
      <c r="J57" s="8" t="s">
        <v>259</v>
      </c>
      <c r="K57" s="9"/>
      <c r="L57" s="9"/>
      <c r="M57" s="9"/>
      <c r="N57" s="9"/>
      <c r="O57" s="9"/>
      <c r="P57" s="9"/>
    </row>
    <row r="58" spans="1:16" ht="23" x14ac:dyDescent="0.35">
      <c r="A58" s="7" t="s">
        <v>260</v>
      </c>
      <c r="B58" s="8" t="s">
        <v>253</v>
      </c>
      <c r="C58" s="8" t="s">
        <v>261</v>
      </c>
      <c r="D58" s="8" t="s">
        <v>37</v>
      </c>
      <c r="E58" s="8" t="s">
        <v>257</v>
      </c>
      <c r="F58" s="8" t="s">
        <v>258</v>
      </c>
      <c r="G58" s="8" t="s">
        <v>40</v>
      </c>
      <c r="H58" s="8" t="s">
        <v>133</v>
      </c>
      <c r="I58" s="8" t="s">
        <v>253</v>
      </c>
      <c r="J58" s="8" t="s">
        <v>262</v>
      </c>
      <c r="K58" s="9"/>
      <c r="L58" s="9"/>
      <c r="M58" s="9"/>
      <c r="N58" s="9"/>
      <c r="O58" s="9"/>
      <c r="P58" s="9"/>
    </row>
    <row r="59" spans="1:16" ht="23" x14ac:dyDescent="0.35">
      <c r="A59" s="7" t="s">
        <v>263</v>
      </c>
      <c r="B59" s="8" t="s">
        <v>253</v>
      </c>
      <c r="C59" s="8" t="s">
        <v>264</v>
      </c>
      <c r="D59" s="8" t="s">
        <v>37</v>
      </c>
      <c r="E59" s="8" t="s">
        <v>257</v>
      </c>
      <c r="F59" s="8" t="s">
        <v>258</v>
      </c>
      <c r="G59" s="8" t="s">
        <v>40</v>
      </c>
      <c r="H59" s="8" t="s">
        <v>265</v>
      </c>
      <c r="I59" s="8" t="s">
        <v>253</v>
      </c>
      <c r="J59" s="8" t="s">
        <v>266</v>
      </c>
      <c r="K59" s="9"/>
      <c r="L59" s="9"/>
      <c r="M59" s="9"/>
      <c r="N59" s="9"/>
      <c r="O59" s="9"/>
      <c r="P59" s="9"/>
    </row>
    <row r="60" spans="1:16" ht="23" x14ac:dyDescent="0.35">
      <c r="A60" s="7" t="s">
        <v>267</v>
      </c>
      <c r="B60" s="8" t="s">
        <v>253</v>
      </c>
      <c r="C60" s="8" t="s">
        <v>268</v>
      </c>
      <c r="D60" s="8" t="s">
        <v>37</v>
      </c>
      <c r="E60" s="8" t="s">
        <v>257</v>
      </c>
      <c r="F60" s="8" t="s">
        <v>258</v>
      </c>
      <c r="G60" s="8" t="s">
        <v>40</v>
      </c>
      <c r="H60" s="8" t="s">
        <v>269</v>
      </c>
      <c r="I60" s="8" t="s">
        <v>253</v>
      </c>
      <c r="J60" s="8" t="s">
        <v>270</v>
      </c>
      <c r="K60" s="9"/>
      <c r="L60" s="9"/>
      <c r="M60" s="9"/>
      <c r="N60" s="9"/>
      <c r="O60" s="9"/>
      <c r="P60" s="9"/>
    </row>
    <row r="61" spans="1:16" ht="34.5" x14ac:dyDescent="0.35">
      <c r="A61" s="7" t="s">
        <v>271</v>
      </c>
      <c r="B61" s="8" t="s">
        <v>253</v>
      </c>
      <c r="C61" s="8" t="s">
        <v>272</v>
      </c>
      <c r="D61" s="8" t="s">
        <v>37</v>
      </c>
      <c r="E61" s="8" t="s">
        <v>257</v>
      </c>
      <c r="F61" s="8" t="s">
        <v>258</v>
      </c>
      <c r="G61" s="8" t="s">
        <v>40</v>
      </c>
      <c r="H61" s="8" t="s">
        <v>273</v>
      </c>
      <c r="I61" s="8" t="s">
        <v>253</v>
      </c>
      <c r="J61" s="8" t="s">
        <v>274</v>
      </c>
      <c r="K61" s="9"/>
      <c r="L61" s="9"/>
      <c r="M61" s="9"/>
      <c r="N61" s="9"/>
      <c r="O61" s="9"/>
      <c r="P61" s="9"/>
    </row>
    <row r="62" spans="1:16" ht="23" x14ac:dyDescent="0.35">
      <c r="A62" s="7" t="s">
        <v>275</v>
      </c>
      <c r="B62" s="8" t="s">
        <v>276</v>
      </c>
      <c r="C62" s="8" t="s">
        <v>277</v>
      </c>
      <c r="D62" s="8" t="s">
        <v>37</v>
      </c>
      <c r="E62" s="8" t="s">
        <v>278</v>
      </c>
      <c r="F62" s="8" t="s">
        <v>279</v>
      </c>
      <c r="G62" s="8" t="s">
        <v>40</v>
      </c>
      <c r="H62" s="8" t="s">
        <v>265</v>
      </c>
      <c r="I62" s="8" t="s">
        <v>280</v>
      </c>
      <c r="J62" s="8" t="s">
        <v>281</v>
      </c>
      <c r="K62" s="9"/>
      <c r="L62" s="9"/>
      <c r="M62" s="9"/>
      <c r="N62" s="9"/>
      <c r="O62" s="9"/>
      <c r="P62" s="9"/>
    </row>
  </sheetData>
  <autoFilter ref="A1:P62" xr:uid="{00000000-0009-0000-0000-000001000000}"/>
  <mergeCells count="8">
    <mergeCell ref="A2:J2"/>
    <mergeCell ref="A52:J52"/>
    <mergeCell ref="A42:J42"/>
    <mergeCell ref="A31:J31"/>
    <mergeCell ref="A55:J55"/>
    <mergeCell ref="A35:J35"/>
    <mergeCell ref="A4:J4"/>
    <mergeCell ref="A26:J26"/>
  </mergeCells>
  <dataValidations count="1">
    <dataValidation type="list" allowBlank="1" sqref="K2:K62 M2:M62 O2:O62" xr:uid="{00000000-0002-0000-0100-000000000000}">
      <formula1>"Yes,No,Change"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0"/>
  <sheetViews>
    <sheetView workbookViewId="0">
      <pane xSplit="2" ySplit="4" topLeftCell="C5" activePane="bottomRight" state="frozen"/>
      <selection pane="topRight"/>
      <selection pane="bottomLeft"/>
      <selection pane="bottomRight"/>
    </sheetView>
  </sheetViews>
  <sheetFormatPr defaultRowHeight="14.5" x14ac:dyDescent="0.35"/>
  <cols>
    <col min="1" max="1" width="8" customWidth="1"/>
    <col min="2" max="2" width="52" customWidth="1"/>
    <col min="3" max="3" width="16" customWidth="1"/>
    <col min="4" max="4" width="34" customWidth="1"/>
    <col min="5" max="5" width="16" customWidth="1"/>
    <col min="6" max="6" width="12" customWidth="1"/>
    <col min="8" max="8" width="34" customWidth="1"/>
    <col min="9" max="9" width="22" customWidth="1"/>
  </cols>
  <sheetData>
    <row r="1" spans="1:9" ht="15.5" x14ac:dyDescent="0.35">
      <c r="A1" s="10" t="s">
        <v>282</v>
      </c>
    </row>
    <row r="2" spans="1:9" ht="30" customHeight="1" x14ac:dyDescent="0.35">
      <c r="A2" s="24" t="s">
        <v>283</v>
      </c>
      <c r="B2" s="23"/>
      <c r="C2" s="23"/>
      <c r="D2" s="23"/>
      <c r="E2" s="23"/>
      <c r="F2" s="23"/>
    </row>
    <row r="4" spans="1:9" x14ac:dyDescent="0.35">
      <c r="A4" s="11" t="s">
        <v>17</v>
      </c>
      <c r="B4" s="11" t="s">
        <v>19</v>
      </c>
      <c r="C4" s="11" t="s">
        <v>284</v>
      </c>
      <c r="D4" s="11" t="s">
        <v>285</v>
      </c>
      <c r="E4" s="11" t="s">
        <v>24</v>
      </c>
      <c r="F4" s="11" t="s">
        <v>286</v>
      </c>
      <c r="H4" s="12" t="s">
        <v>287</v>
      </c>
    </row>
    <row r="5" spans="1:9" x14ac:dyDescent="0.35">
      <c r="A5" s="13" t="s">
        <v>34</v>
      </c>
      <c r="B5" s="8" t="s">
        <v>36</v>
      </c>
      <c r="C5" s="14" t="s">
        <v>288</v>
      </c>
      <c r="D5" s="13" t="s">
        <v>289</v>
      </c>
      <c r="E5" s="13" t="s">
        <v>290</v>
      </c>
      <c r="F5" s="13" t="s">
        <v>291</v>
      </c>
      <c r="H5" s="15" t="s">
        <v>292</v>
      </c>
      <c r="I5" s="15">
        <f>COUNTIF($C$5:$C$70,H5)</f>
        <v>26</v>
      </c>
    </row>
    <row r="6" spans="1:9" ht="23" x14ac:dyDescent="0.35">
      <c r="A6" s="13" t="s">
        <v>47</v>
      </c>
      <c r="B6" s="8" t="s">
        <v>49</v>
      </c>
      <c r="C6" s="14" t="s">
        <v>288</v>
      </c>
      <c r="D6" s="13"/>
      <c r="E6" s="13" t="s">
        <v>133</v>
      </c>
      <c r="F6" s="13"/>
      <c r="H6" s="15" t="s">
        <v>293</v>
      </c>
      <c r="I6" s="15">
        <f>COUNTIF($C$5:$C$70,H6)</f>
        <v>14</v>
      </c>
    </row>
    <row r="7" spans="1:9" x14ac:dyDescent="0.35">
      <c r="A7" s="13" t="s">
        <v>56</v>
      </c>
      <c r="B7" s="8" t="s">
        <v>57</v>
      </c>
      <c r="C7" s="14" t="s">
        <v>288</v>
      </c>
      <c r="D7" s="13"/>
      <c r="E7" s="13" t="s">
        <v>133</v>
      </c>
      <c r="F7" s="13"/>
      <c r="H7" s="15" t="s">
        <v>288</v>
      </c>
      <c r="I7" s="15">
        <f>COUNTIF($C$5:$C$70,H7)</f>
        <v>19</v>
      </c>
    </row>
    <row r="8" spans="1:9" ht="23" x14ac:dyDescent="0.35">
      <c r="A8" s="13" t="s">
        <v>60</v>
      </c>
      <c r="B8" s="8" t="s">
        <v>294</v>
      </c>
      <c r="C8" s="14" t="s">
        <v>293</v>
      </c>
      <c r="D8" s="13"/>
      <c r="E8" s="13" t="s">
        <v>133</v>
      </c>
      <c r="F8" s="13"/>
      <c r="H8" s="15" t="s">
        <v>295</v>
      </c>
      <c r="I8" s="15">
        <f>COUNTIF($C$5:$C$70,H8)</f>
        <v>3</v>
      </c>
    </row>
    <row r="9" spans="1:9" ht="23" x14ac:dyDescent="0.35">
      <c r="A9" s="13" t="s">
        <v>64</v>
      </c>
      <c r="B9" s="8" t="s">
        <v>296</v>
      </c>
      <c r="C9" s="14" t="s">
        <v>292</v>
      </c>
      <c r="D9" s="13"/>
      <c r="E9" s="13" t="s">
        <v>133</v>
      </c>
      <c r="F9" s="13"/>
      <c r="H9" s="15" t="s">
        <v>297</v>
      </c>
      <c r="I9" s="15">
        <f>COUNTIF($C$5:$C$70,H9)</f>
        <v>4</v>
      </c>
    </row>
    <row r="10" spans="1:9" x14ac:dyDescent="0.35">
      <c r="A10" s="13" t="s">
        <v>68</v>
      </c>
      <c r="B10" s="8" t="s">
        <v>69</v>
      </c>
      <c r="C10" s="14" t="s">
        <v>288</v>
      </c>
      <c r="D10" s="13"/>
      <c r="E10" s="13" t="s">
        <v>133</v>
      </c>
      <c r="F10" s="13"/>
      <c r="H10" s="16" t="s">
        <v>298</v>
      </c>
      <c r="I10" s="16">
        <f>COUNTA($C$5:$C$70)</f>
        <v>66</v>
      </c>
    </row>
    <row r="11" spans="1:9" ht="23" x14ac:dyDescent="0.35">
      <c r="A11" s="13" t="s">
        <v>73</v>
      </c>
      <c r="B11" s="8" t="s">
        <v>299</v>
      </c>
      <c r="C11" s="14" t="s">
        <v>297</v>
      </c>
      <c r="D11" s="13"/>
      <c r="E11" s="13" t="s">
        <v>133</v>
      </c>
      <c r="F11" s="13"/>
      <c r="H11" s="16" t="s">
        <v>300</v>
      </c>
      <c r="I11" s="17">
        <f>IF(I10=0,0,(I7+I8+I9)/I10)</f>
        <v>0.39393939393939392</v>
      </c>
    </row>
    <row r="12" spans="1:9" x14ac:dyDescent="0.35">
      <c r="A12" s="13" t="s">
        <v>76</v>
      </c>
      <c r="B12" s="8" t="s">
        <v>77</v>
      </c>
      <c r="C12" s="14" t="s">
        <v>288</v>
      </c>
      <c r="D12" s="13"/>
      <c r="E12" s="13" t="s">
        <v>133</v>
      </c>
      <c r="F12" s="13"/>
      <c r="H12" s="16" t="s">
        <v>301</v>
      </c>
      <c r="I12" s="16" t="str">
        <f>IF(I5+I6=0,"YES — all lines closed","NO — "&amp;(I5+I6)&amp;" lines open")</f>
        <v>NO — 40 lines open</v>
      </c>
    </row>
    <row r="13" spans="1:9" ht="23" x14ac:dyDescent="0.35">
      <c r="A13" s="13" t="s">
        <v>80</v>
      </c>
      <c r="B13" s="8" t="s">
        <v>302</v>
      </c>
      <c r="C13" s="14" t="s">
        <v>288</v>
      </c>
      <c r="D13" s="13"/>
      <c r="E13" s="13" t="s">
        <v>133</v>
      </c>
      <c r="F13" s="13"/>
    </row>
    <row r="14" spans="1:9" ht="23" x14ac:dyDescent="0.35">
      <c r="A14" s="13" t="s">
        <v>84</v>
      </c>
      <c r="B14" s="8" t="s">
        <v>303</v>
      </c>
      <c r="C14" s="14" t="s">
        <v>293</v>
      </c>
      <c r="D14" s="13"/>
      <c r="E14" s="13" t="s">
        <v>133</v>
      </c>
      <c r="F14" s="13"/>
      <c r="H14" s="18" t="s">
        <v>304</v>
      </c>
    </row>
    <row r="15" spans="1:9" x14ac:dyDescent="0.35">
      <c r="A15" s="13" t="s">
        <v>87</v>
      </c>
      <c r="B15" s="8" t="s">
        <v>88</v>
      </c>
      <c r="C15" s="14" t="s">
        <v>292</v>
      </c>
      <c r="D15" s="13"/>
      <c r="E15" s="13" t="s">
        <v>133</v>
      </c>
      <c r="F15" s="13"/>
    </row>
    <row r="16" spans="1:9" ht="23" x14ac:dyDescent="0.35">
      <c r="A16" s="13" t="s">
        <v>91</v>
      </c>
      <c r="B16" s="8" t="s">
        <v>305</v>
      </c>
      <c r="C16" s="14" t="s">
        <v>288</v>
      </c>
      <c r="D16" s="13"/>
      <c r="E16" s="13" t="s">
        <v>133</v>
      </c>
      <c r="F16" s="13"/>
    </row>
    <row r="17" spans="1:6" x14ac:dyDescent="0.35">
      <c r="A17" s="13" t="s">
        <v>94</v>
      </c>
      <c r="B17" s="8" t="s">
        <v>95</v>
      </c>
      <c r="C17" s="14" t="s">
        <v>297</v>
      </c>
      <c r="D17" s="13"/>
      <c r="E17" s="13" t="s">
        <v>133</v>
      </c>
      <c r="F17" s="13"/>
    </row>
    <row r="18" spans="1:6" ht="23" x14ac:dyDescent="0.35">
      <c r="A18" s="13" t="s">
        <v>97</v>
      </c>
      <c r="B18" s="8" t="s">
        <v>306</v>
      </c>
      <c r="C18" s="14" t="s">
        <v>288</v>
      </c>
      <c r="D18" s="13"/>
      <c r="E18" s="13" t="s">
        <v>133</v>
      </c>
      <c r="F18" s="13"/>
    </row>
    <row r="19" spans="1:6" ht="23" x14ac:dyDescent="0.35">
      <c r="A19" s="13" t="s">
        <v>100</v>
      </c>
      <c r="B19" s="8" t="s">
        <v>307</v>
      </c>
      <c r="C19" s="14" t="s">
        <v>288</v>
      </c>
      <c r="D19" s="13"/>
      <c r="E19" s="13" t="s">
        <v>133</v>
      </c>
      <c r="F19" s="13"/>
    </row>
    <row r="20" spans="1:6" ht="23" x14ac:dyDescent="0.35">
      <c r="A20" s="13" t="s">
        <v>103</v>
      </c>
      <c r="B20" s="8" t="s">
        <v>308</v>
      </c>
      <c r="C20" s="14" t="s">
        <v>293</v>
      </c>
      <c r="D20" s="13"/>
      <c r="E20" s="13" t="s">
        <v>133</v>
      </c>
      <c r="F20" s="13"/>
    </row>
    <row r="21" spans="1:6" ht="23" x14ac:dyDescent="0.35">
      <c r="A21" s="13" t="s">
        <v>106</v>
      </c>
      <c r="B21" s="8" t="s">
        <v>309</v>
      </c>
      <c r="C21" s="14" t="s">
        <v>292</v>
      </c>
      <c r="D21" s="13"/>
      <c r="E21" s="13" t="s">
        <v>133</v>
      </c>
      <c r="F21" s="13"/>
    </row>
    <row r="22" spans="1:6" x14ac:dyDescent="0.35">
      <c r="A22" s="13" t="s">
        <v>110</v>
      </c>
      <c r="B22" s="8" t="s">
        <v>111</v>
      </c>
      <c r="C22" s="14" t="s">
        <v>288</v>
      </c>
      <c r="D22" s="13"/>
      <c r="E22" s="13" t="s">
        <v>133</v>
      </c>
      <c r="F22" s="13"/>
    </row>
    <row r="23" spans="1:6" x14ac:dyDescent="0.35">
      <c r="A23" s="13" t="s">
        <v>113</v>
      </c>
      <c r="B23" s="8" t="s">
        <v>310</v>
      </c>
      <c r="C23" s="14" t="s">
        <v>297</v>
      </c>
      <c r="D23" s="13"/>
      <c r="E23" s="13" t="s">
        <v>133</v>
      </c>
      <c r="F23" s="13"/>
    </row>
    <row r="24" spans="1:6" ht="23" x14ac:dyDescent="0.35">
      <c r="A24" s="13" t="s">
        <v>116</v>
      </c>
      <c r="B24" s="8" t="s">
        <v>311</v>
      </c>
      <c r="C24" s="14" t="s">
        <v>288</v>
      </c>
      <c r="D24" s="13"/>
      <c r="E24" s="13" t="s">
        <v>133</v>
      </c>
      <c r="F24" s="13"/>
    </row>
    <row r="25" spans="1:6" ht="23" x14ac:dyDescent="0.35">
      <c r="A25" s="13" t="s">
        <v>119</v>
      </c>
      <c r="B25" s="8" t="s">
        <v>312</v>
      </c>
      <c r="C25" s="14" t="s">
        <v>288</v>
      </c>
      <c r="D25" s="13"/>
      <c r="E25" s="13" t="s">
        <v>133</v>
      </c>
      <c r="F25" s="13"/>
    </row>
    <row r="26" spans="1:6" x14ac:dyDescent="0.35">
      <c r="A26" s="13" t="s">
        <v>122</v>
      </c>
      <c r="B26" s="8" t="s">
        <v>123</v>
      </c>
      <c r="C26" s="14" t="s">
        <v>293</v>
      </c>
      <c r="D26" s="13"/>
      <c r="E26" s="13" t="s">
        <v>133</v>
      </c>
      <c r="F26" s="13"/>
    </row>
    <row r="27" spans="1:6" x14ac:dyDescent="0.35">
      <c r="A27" s="13" t="s">
        <v>127</v>
      </c>
      <c r="B27" s="8" t="s">
        <v>313</v>
      </c>
      <c r="C27" s="14" t="s">
        <v>288</v>
      </c>
      <c r="D27" s="13"/>
      <c r="E27" s="13" t="s">
        <v>133</v>
      </c>
      <c r="F27" s="13" t="s">
        <v>291</v>
      </c>
    </row>
    <row r="28" spans="1:6" x14ac:dyDescent="0.35">
      <c r="A28" s="13" t="s">
        <v>135</v>
      </c>
      <c r="B28" s="8" t="s">
        <v>314</v>
      </c>
      <c r="C28" s="14" t="s">
        <v>288</v>
      </c>
      <c r="D28" s="13"/>
      <c r="E28" s="13" t="s">
        <v>141</v>
      </c>
      <c r="F28" s="13"/>
    </row>
    <row r="29" spans="1:6" x14ac:dyDescent="0.35">
      <c r="A29" s="13" t="s">
        <v>135</v>
      </c>
      <c r="B29" s="8" t="s">
        <v>315</v>
      </c>
      <c r="C29" s="14" t="s">
        <v>288</v>
      </c>
      <c r="D29" s="13"/>
      <c r="E29" s="13" t="s">
        <v>141</v>
      </c>
      <c r="F29" s="13"/>
    </row>
    <row r="30" spans="1:6" x14ac:dyDescent="0.35">
      <c r="A30" s="13" t="s">
        <v>135</v>
      </c>
      <c r="B30" s="8" t="s">
        <v>316</v>
      </c>
      <c r="C30" s="14" t="s">
        <v>288</v>
      </c>
      <c r="D30" s="13"/>
      <c r="E30" s="13" t="s">
        <v>141</v>
      </c>
      <c r="F30" s="13"/>
    </row>
    <row r="31" spans="1:6" x14ac:dyDescent="0.35">
      <c r="A31" s="13" t="s">
        <v>143</v>
      </c>
      <c r="B31" s="8" t="s">
        <v>317</v>
      </c>
      <c r="C31" s="14" t="s">
        <v>293</v>
      </c>
      <c r="D31" s="13"/>
      <c r="E31" s="13" t="s">
        <v>141</v>
      </c>
      <c r="F31" s="13"/>
    </row>
    <row r="32" spans="1:6" x14ac:dyDescent="0.35">
      <c r="A32" s="13" t="s">
        <v>143</v>
      </c>
      <c r="B32" s="8" t="s">
        <v>318</v>
      </c>
      <c r="C32" s="14" t="s">
        <v>293</v>
      </c>
      <c r="D32" s="13"/>
      <c r="E32" s="13" t="s">
        <v>141</v>
      </c>
      <c r="F32" s="13"/>
    </row>
    <row r="33" spans="1:6" x14ac:dyDescent="0.35">
      <c r="A33" s="13" t="s">
        <v>143</v>
      </c>
      <c r="B33" s="8" t="s">
        <v>319</v>
      </c>
      <c r="C33" s="14" t="s">
        <v>293</v>
      </c>
      <c r="D33" s="13"/>
      <c r="E33" s="13" t="s">
        <v>141</v>
      </c>
      <c r="F33" s="13"/>
    </row>
    <row r="34" spans="1:6" x14ac:dyDescent="0.35">
      <c r="A34" s="13" t="s">
        <v>143</v>
      </c>
      <c r="B34" s="8" t="s">
        <v>320</v>
      </c>
      <c r="C34" s="14" t="s">
        <v>293</v>
      </c>
      <c r="D34" s="13"/>
      <c r="E34" s="13" t="s">
        <v>141</v>
      </c>
      <c r="F34" s="13"/>
    </row>
    <row r="35" spans="1:6" x14ac:dyDescent="0.35">
      <c r="A35" s="13" t="s">
        <v>143</v>
      </c>
      <c r="B35" s="8" t="s">
        <v>321</v>
      </c>
      <c r="C35" s="14" t="s">
        <v>293</v>
      </c>
      <c r="D35" s="13"/>
      <c r="E35" s="13" t="s">
        <v>141</v>
      </c>
      <c r="F35" s="13"/>
    </row>
    <row r="36" spans="1:6" x14ac:dyDescent="0.35">
      <c r="A36" s="13" t="s">
        <v>143</v>
      </c>
      <c r="B36" s="8" t="s">
        <v>322</v>
      </c>
      <c r="C36" s="14" t="s">
        <v>293</v>
      </c>
      <c r="D36" s="13"/>
      <c r="E36" s="13" t="s">
        <v>141</v>
      </c>
      <c r="F36" s="13"/>
    </row>
    <row r="37" spans="1:6" x14ac:dyDescent="0.35">
      <c r="A37" s="13" t="s">
        <v>143</v>
      </c>
      <c r="B37" s="8" t="s">
        <v>323</v>
      </c>
      <c r="C37" s="14" t="s">
        <v>293</v>
      </c>
      <c r="D37" s="13"/>
      <c r="E37" s="13" t="s">
        <v>141</v>
      </c>
      <c r="F37" s="13"/>
    </row>
    <row r="38" spans="1:6" x14ac:dyDescent="0.35">
      <c r="A38" s="13" t="s">
        <v>135</v>
      </c>
      <c r="B38" s="8" t="s">
        <v>324</v>
      </c>
      <c r="C38" s="14" t="s">
        <v>293</v>
      </c>
      <c r="D38" s="13"/>
      <c r="E38" s="13" t="s">
        <v>141</v>
      </c>
      <c r="F38" s="13"/>
    </row>
    <row r="39" spans="1:6" x14ac:dyDescent="0.35">
      <c r="A39" s="13" t="s">
        <v>147</v>
      </c>
      <c r="B39" s="8" t="s">
        <v>325</v>
      </c>
      <c r="C39" s="14" t="s">
        <v>292</v>
      </c>
      <c r="D39" s="13"/>
      <c r="E39" s="13" t="s">
        <v>133</v>
      </c>
      <c r="F39" s="13"/>
    </row>
    <row r="40" spans="1:6" ht="23" x14ac:dyDescent="0.35">
      <c r="A40" s="13" t="s">
        <v>326</v>
      </c>
      <c r="B40" s="8" t="s">
        <v>327</v>
      </c>
      <c r="C40" s="14" t="s">
        <v>288</v>
      </c>
      <c r="D40" s="13" t="s">
        <v>328</v>
      </c>
      <c r="E40" s="13" t="s">
        <v>141</v>
      </c>
      <c r="F40" s="13"/>
    </row>
    <row r="41" spans="1:6" ht="23" x14ac:dyDescent="0.35">
      <c r="A41" s="13" t="s">
        <v>326</v>
      </c>
      <c r="B41" s="8" t="s">
        <v>329</v>
      </c>
      <c r="C41" s="14" t="s">
        <v>288</v>
      </c>
      <c r="D41" s="13" t="s">
        <v>328</v>
      </c>
      <c r="E41" s="13" t="s">
        <v>141</v>
      </c>
      <c r="F41" s="13"/>
    </row>
    <row r="42" spans="1:6" ht="23" x14ac:dyDescent="0.35">
      <c r="A42" s="13" t="s">
        <v>326</v>
      </c>
      <c r="B42" s="8" t="s">
        <v>330</v>
      </c>
      <c r="C42" s="14" t="s">
        <v>288</v>
      </c>
      <c r="D42" s="13" t="s">
        <v>328</v>
      </c>
      <c r="E42" s="13" t="s">
        <v>141</v>
      </c>
      <c r="F42" s="13"/>
    </row>
    <row r="43" spans="1:6" ht="23" x14ac:dyDescent="0.35">
      <c r="A43" s="13" t="s">
        <v>326</v>
      </c>
      <c r="B43" s="8" t="s">
        <v>331</v>
      </c>
      <c r="C43" s="14" t="s">
        <v>293</v>
      </c>
      <c r="D43" s="13" t="s">
        <v>332</v>
      </c>
      <c r="E43" s="13" t="s">
        <v>141</v>
      </c>
      <c r="F43" s="13"/>
    </row>
    <row r="44" spans="1:6" ht="23" x14ac:dyDescent="0.35">
      <c r="A44" s="13" t="s">
        <v>326</v>
      </c>
      <c r="B44" s="8" t="s">
        <v>333</v>
      </c>
      <c r="C44" s="14" t="s">
        <v>293</v>
      </c>
      <c r="D44" s="13" t="s">
        <v>332</v>
      </c>
      <c r="E44" s="13" t="s">
        <v>141</v>
      </c>
      <c r="F44" s="13"/>
    </row>
    <row r="45" spans="1:6" ht="23" x14ac:dyDescent="0.35">
      <c r="A45" s="13" t="s">
        <v>326</v>
      </c>
      <c r="B45" s="8" t="s">
        <v>334</v>
      </c>
      <c r="C45" s="14" t="s">
        <v>292</v>
      </c>
      <c r="D45" s="13" t="s">
        <v>335</v>
      </c>
      <c r="E45" s="13" t="s">
        <v>141</v>
      </c>
      <c r="F45" s="13"/>
    </row>
    <row r="46" spans="1:6" ht="23" x14ac:dyDescent="0.35">
      <c r="A46" s="13" t="s">
        <v>326</v>
      </c>
      <c r="B46" s="8" t="s">
        <v>336</v>
      </c>
      <c r="C46" s="14" t="s">
        <v>292</v>
      </c>
      <c r="D46" s="13" t="s">
        <v>335</v>
      </c>
      <c r="E46" s="13" t="s">
        <v>141</v>
      </c>
      <c r="F46" s="13"/>
    </row>
    <row r="47" spans="1:6" x14ac:dyDescent="0.35">
      <c r="A47" s="13" t="s">
        <v>198</v>
      </c>
      <c r="B47" s="8" t="s">
        <v>200</v>
      </c>
      <c r="C47" s="14" t="s">
        <v>295</v>
      </c>
      <c r="D47" s="13" t="s">
        <v>201</v>
      </c>
      <c r="E47" s="13" t="s">
        <v>133</v>
      </c>
      <c r="F47" s="13"/>
    </row>
    <row r="48" spans="1:6" x14ac:dyDescent="0.35">
      <c r="A48" s="13" t="s">
        <v>205</v>
      </c>
      <c r="B48" s="8" t="s">
        <v>206</v>
      </c>
      <c r="C48" s="14" t="s">
        <v>295</v>
      </c>
      <c r="D48" s="13" t="s">
        <v>207</v>
      </c>
      <c r="E48" s="13" t="s">
        <v>133</v>
      </c>
      <c r="F48" s="13"/>
    </row>
    <row r="49" spans="1:6" x14ac:dyDescent="0.35">
      <c r="A49" s="13" t="s">
        <v>208</v>
      </c>
      <c r="B49" s="8" t="s">
        <v>209</v>
      </c>
      <c r="C49" s="14" t="s">
        <v>292</v>
      </c>
      <c r="D49" s="13" t="s">
        <v>210</v>
      </c>
      <c r="E49" s="13" t="s">
        <v>133</v>
      </c>
      <c r="F49" s="13"/>
    </row>
    <row r="50" spans="1:6" x14ac:dyDescent="0.35">
      <c r="A50" s="13" t="s">
        <v>211</v>
      </c>
      <c r="B50" s="8" t="s">
        <v>212</v>
      </c>
      <c r="C50" s="14" t="s">
        <v>297</v>
      </c>
      <c r="D50" s="13" t="s">
        <v>337</v>
      </c>
      <c r="E50" s="13" t="s">
        <v>133</v>
      </c>
      <c r="F50" s="13"/>
    </row>
    <row r="51" spans="1:6" x14ac:dyDescent="0.35">
      <c r="A51" s="13" t="s">
        <v>215</v>
      </c>
      <c r="B51" s="8" t="s">
        <v>216</v>
      </c>
      <c r="C51" s="14" t="s">
        <v>292</v>
      </c>
      <c r="D51" s="13" t="s">
        <v>217</v>
      </c>
      <c r="E51" s="13" t="s">
        <v>133</v>
      </c>
      <c r="F51" s="13"/>
    </row>
    <row r="52" spans="1:6" x14ac:dyDescent="0.35">
      <c r="A52" s="13" t="s">
        <v>218</v>
      </c>
      <c r="B52" s="8" t="s">
        <v>219</v>
      </c>
      <c r="C52" s="14" t="s">
        <v>292</v>
      </c>
      <c r="D52" s="13" t="s">
        <v>220</v>
      </c>
      <c r="E52" s="13" t="s">
        <v>133</v>
      </c>
      <c r="F52" s="13"/>
    </row>
    <row r="53" spans="1:6" x14ac:dyDescent="0.35">
      <c r="A53" s="13" t="s">
        <v>221</v>
      </c>
      <c r="B53" s="8" t="s">
        <v>222</v>
      </c>
      <c r="C53" s="14" t="s">
        <v>292</v>
      </c>
      <c r="D53" s="13" t="s">
        <v>223</v>
      </c>
      <c r="E53" s="13" t="s">
        <v>133</v>
      </c>
      <c r="F53" s="13"/>
    </row>
    <row r="54" spans="1:6" x14ac:dyDescent="0.35">
      <c r="A54" s="13" t="s">
        <v>224</v>
      </c>
      <c r="B54" s="8" t="s">
        <v>225</v>
      </c>
      <c r="C54" s="14" t="s">
        <v>295</v>
      </c>
      <c r="D54" s="13" t="s">
        <v>226</v>
      </c>
      <c r="E54" s="13" t="s">
        <v>133</v>
      </c>
      <c r="F54" s="13"/>
    </row>
    <row r="55" spans="1:6" x14ac:dyDescent="0.35">
      <c r="A55" s="13" t="s">
        <v>228</v>
      </c>
      <c r="B55" s="8" t="s">
        <v>229</v>
      </c>
      <c r="C55" s="14" t="s">
        <v>292</v>
      </c>
      <c r="D55" s="13" t="s">
        <v>230</v>
      </c>
      <c r="E55" s="13" t="s">
        <v>133</v>
      </c>
      <c r="F55" s="13"/>
    </row>
    <row r="56" spans="1:6" x14ac:dyDescent="0.35">
      <c r="A56" s="13" t="s">
        <v>169</v>
      </c>
      <c r="B56" s="8" t="s">
        <v>338</v>
      </c>
      <c r="C56" s="14" t="s">
        <v>292</v>
      </c>
      <c r="D56" s="13"/>
      <c r="E56" s="13" t="s">
        <v>172</v>
      </c>
      <c r="F56" s="13"/>
    </row>
    <row r="57" spans="1:6" x14ac:dyDescent="0.35">
      <c r="A57" s="13" t="s">
        <v>175</v>
      </c>
      <c r="B57" s="8" t="s">
        <v>339</v>
      </c>
      <c r="C57" s="14" t="s">
        <v>292</v>
      </c>
      <c r="D57" s="13"/>
      <c r="E57" s="13" t="s">
        <v>172</v>
      </c>
      <c r="F57" s="13"/>
    </row>
    <row r="58" spans="1:6" x14ac:dyDescent="0.35">
      <c r="A58" s="13" t="s">
        <v>180</v>
      </c>
      <c r="B58" s="8" t="s">
        <v>340</v>
      </c>
      <c r="C58" s="14" t="s">
        <v>292</v>
      </c>
      <c r="D58" s="13"/>
      <c r="E58" s="13" t="s">
        <v>172</v>
      </c>
      <c r="F58" s="13"/>
    </row>
    <row r="59" spans="1:6" x14ac:dyDescent="0.35">
      <c r="A59" s="13" t="s">
        <v>183</v>
      </c>
      <c r="B59" s="8" t="s">
        <v>341</v>
      </c>
      <c r="C59" s="14" t="s">
        <v>292</v>
      </c>
      <c r="D59" s="13"/>
      <c r="E59" s="13" t="s">
        <v>172</v>
      </c>
      <c r="F59" s="13"/>
    </row>
    <row r="60" spans="1:6" x14ac:dyDescent="0.35">
      <c r="A60" s="13" t="s">
        <v>189</v>
      </c>
      <c r="B60" s="8" t="s">
        <v>342</v>
      </c>
      <c r="C60" s="14" t="s">
        <v>292</v>
      </c>
      <c r="D60" s="13"/>
      <c r="E60" s="13" t="s">
        <v>172</v>
      </c>
      <c r="F60" s="13"/>
    </row>
    <row r="61" spans="1:6" x14ac:dyDescent="0.35">
      <c r="A61" s="13" t="s">
        <v>194</v>
      </c>
      <c r="B61" s="8" t="s">
        <v>343</v>
      </c>
      <c r="C61" s="14" t="s">
        <v>292</v>
      </c>
      <c r="D61" s="13"/>
      <c r="E61" s="13" t="s">
        <v>172</v>
      </c>
      <c r="F61" s="13"/>
    </row>
    <row r="62" spans="1:6" x14ac:dyDescent="0.35">
      <c r="A62" s="13" t="s">
        <v>232</v>
      </c>
      <c r="B62" s="8" t="s">
        <v>344</v>
      </c>
      <c r="C62" s="14" t="s">
        <v>292</v>
      </c>
      <c r="D62" s="13"/>
      <c r="E62" s="13" t="s">
        <v>239</v>
      </c>
      <c r="F62" s="13"/>
    </row>
    <row r="63" spans="1:6" x14ac:dyDescent="0.35">
      <c r="A63" s="13" t="s">
        <v>242</v>
      </c>
      <c r="B63" s="8" t="s">
        <v>345</v>
      </c>
      <c r="C63" s="14" t="s">
        <v>292</v>
      </c>
      <c r="D63" s="13"/>
      <c r="E63" s="13" t="s">
        <v>239</v>
      </c>
      <c r="F63" s="13"/>
    </row>
    <row r="64" spans="1:6" x14ac:dyDescent="0.35">
      <c r="A64" s="13" t="s">
        <v>250</v>
      </c>
      <c r="B64" s="8" t="s">
        <v>251</v>
      </c>
      <c r="C64" s="14" t="s">
        <v>292</v>
      </c>
      <c r="D64" s="13"/>
      <c r="E64" s="13" t="s">
        <v>239</v>
      </c>
      <c r="F64" s="13"/>
    </row>
    <row r="65" spans="1:6" x14ac:dyDescent="0.35">
      <c r="A65" s="13" t="s">
        <v>255</v>
      </c>
      <c r="B65" s="8" t="s">
        <v>346</v>
      </c>
      <c r="C65" s="14" t="s">
        <v>292</v>
      </c>
      <c r="D65" s="13"/>
      <c r="E65" s="13" t="s">
        <v>239</v>
      </c>
      <c r="F65" s="13"/>
    </row>
    <row r="66" spans="1:6" x14ac:dyDescent="0.35">
      <c r="A66" s="13" t="s">
        <v>260</v>
      </c>
      <c r="B66" s="8" t="s">
        <v>347</v>
      </c>
      <c r="C66" s="14" t="s">
        <v>292</v>
      </c>
      <c r="D66" s="13"/>
      <c r="E66" s="13" t="s">
        <v>133</v>
      </c>
      <c r="F66" s="13"/>
    </row>
    <row r="67" spans="1:6" x14ac:dyDescent="0.35">
      <c r="A67" s="13" t="s">
        <v>263</v>
      </c>
      <c r="B67" s="8" t="s">
        <v>348</v>
      </c>
      <c r="C67" s="14" t="s">
        <v>292</v>
      </c>
      <c r="D67" s="13"/>
      <c r="E67" s="13" t="s">
        <v>265</v>
      </c>
      <c r="F67" s="13"/>
    </row>
    <row r="68" spans="1:6" x14ac:dyDescent="0.35">
      <c r="A68" s="13" t="s">
        <v>267</v>
      </c>
      <c r="B68" s="8" t="s">
        <v>349</v>
      </c>
      <c r="C68" s="14" t="s">
        <v>292</v>
      </c>
      <c r="D68" s="13"/>
      <c r="E68" s="13" t="s">
        <v>269</v>
      </c>
      <c r="F68" s="13"/>
    </row>
    <row r="69" spans="1:6" x14ac:dyDescent="0.35">
      <c r="A69" s="13" t="s">
        <v>271</v>
      </c>
      <c r="B69" s="8" t="s">
        <v>350</v>
      </c>
      <c r="C69" s="14" t="s">
        <v>292</v>
      </c>
      <c r="D69" s="13"/>
      <c r="E69" s="13" t="s">
        <v>273</v>
      </c>
      <c r="F69" s="13"/>
    </row>
    <row r="70" spans="1:6" x14ac:dyDescent="0.35">
      <c r="A70" s="13" t="s">
        <v>275</v>
      </c>
      <c r="B70" s="8" t="s">
        <v>351</v>
      </c>
      <c r="C70" s="14" t="s">
        <v>292</v>
      </c>
      <c r="D70" s="13"/>
      <c r="E70" s="13" t="s">
        <v>265</v>
      </c>
      <c r="F70" s="13"/>
    </row>
  </sheetData>
  <mergeCells count="1">
    <mergeCell ref="A2:F2"/>
  </mergeCells>
  <dataValidations count="1">
    <dataValidation type="list" sqref="C5:C70" xr:uid="{00000000-0002-0000-0200-000000000000}">
      <formula1>"Not started,In progress,Complete,Evidence linked,N/A (reason)"</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4.5" x14ac:dyDescent="0.35"/>
  <cols>
    <col min="1" max="1" width="20" customWidth="1"/>
    <col min="2" max="2" width="90" customWidth="1"/>
    <col min="3" max="3" width="30" customWidth="1"/>
  </cols>
  <sheetData>
    <row r="1" spans="1:3" x14ac:dyDescent="0.35">
      <c r="A1" s="19" t="s">
        <v>284</v>
      </c>
      <c r="B1" s="19" t="s">
        <v>352</v>
      </c>
      <c r="C1" s="19" t="s">
        <v>353</v>
      </c>
    </row>
    <row r="2" spans="1:3" x14ac:dyDescent="0.35">
      <c r="A2" s="7" t="s">
        <v>292</v>
      </c>
      <c r="B2" s="8" t="s">
        <v>354</v>
      </c>
      <c r="C2" s="8" t="s">
        <v>40</v>
      </c>
    </row>
    <row r="3" spans="1:3" x14ac:dyDescent="0.35">
      <c r="A3" s="7" t="s">
        <v>293</v>
      </c>
      <c r="B3" s="8" t="s">
        <v>355</v>
      </c>
      <c r="C3" s="8" t="s">
        <v>40</v>
      </c>
    </row>
    <row r="4" spans="1:3" x14ac:dyDescent="0.35">
      <c r="A4" s="7" t="s">
        <v>288</v>
      </c>
      <c r="B4" s="8" t="s">
        <v>356</v>
      </c>
      <c r="C4" s="8" t="s">
        <v>44</v>
      </c>
    </row>
    <row r="5" spans="1:3" x14ac:dyDescent="0.35">
      <c r="A5" s="7" t="s">
        <v>295</v>
      </c>
      <c r="B5" s="8" t="s">
        <v>357</v>
      </c>
      <c r="C5" s="8" t="s">
        <v>44</v>
      </c>
    </row>
    <row r="6" spans="1:3" x14ac:dyDescent="0.35">
      <c r="A6" s="7" t="s">
        <v>297</v>
      </c>
      <c r="B6" s="8" t="s">
        <v>358</v>
      </c>
      <c r="C6" s="8" t="s">
        <v>359</v>
      </c>
    </row>
    <row r="7" spans="1:3" x14ac:dyDescent="0.35">
      <c r="A7" s="20"/>
      <c r="B7" s="21"/>
      <c r="C7" s="21"/>
    </row>
    <row r="8" spans="1:3" ht="34.5" x14ac:dyDescent="0.35">
      <c r="A8" s="7" t="s">
        <v>360</v>
      </c>
      <c r="B8" s="8" t="s">
        <v>361</v>
      </c>
      <c r="C8" s="21"/>
    </row>
    <row r="9" spans="1:3" ht="23" x14ac:dyDescent="0.35">
      <c r="A9" s="7" t="s">
        <v>362</v>
      </c>
      <c r="B9" s="8" t="s">
        <v>363</v>
      </c>
      <c r="C9" s="2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sheetViews>
  <sheetFormatPr defaultRowHeight="14.5" x14ac:dyDescent="0.35"/>
  <cols>
    <col min="1" max="1" width="4" customWidth="1"/>
    <col min="2" max="2" width="60" customWidth="1"/>
    <col min="3" max="3" width="18" customWidth="1"/>
    <col min="4" max="4" width="40" customWidth="1"/>
    <col min="5" max="7" width="26" customWidth="1"/>
  </cols>
  <sheetData>
    <row r="1" spans="1:7" x14ac:dyDescent="0.35">
      <c r="A1" s="19" t="s">
        <v>364</v>
      </c>
      <c r="B1" s="19" t="s">
        <v>365</v>
      </c>
      <c r="C1" s="19" t="s">
        <v>366</v>
      </c>
      <c r="D1" s="19" t="s">
        <v>367</v>
      </c>
      <c r="E1" s="19" t="s">
        <v>368</v>
      </c>
      <c r="F1" s="19" t="s">
        <v>369</v>
      </c>
      <c r="G1" s="19" t="s">
        <v>370</v>
      </c>
    </row>
    <row r="2" spans="1:7" ht="23" x14ac:dyDescent="0.35">
      <c r="A2" s="8">
        <v>1</v>
      </c>
      <c r="B2" s="8" t="s">
        <v>371</v>
      </c>
      <c r="C2" s="8" t="s">
        <v>372</v>
      </c>
      <c r="D2" s="8" t="s">
        <v>373</v>
      </c>
      <c r="E2" s="9"/>
      <c r="F2" s="9"/>
      <c r="G2" s="9"/>
    </row>
    <row r="3" spans="1:7" ht="23" x14ac:dyDescent="0.35">
      <c r="A3" s="8">
        <v>2</v>
      </c>
      <c r="B3" s="8" t="s">
        <v>374</v>
      </c>
      <c r="C3" s="8" t="s">
        <v>375</v>
      </c>
      <c r="D3" s="8" t="s">
        <v>376</v>
      </c>
      <c r="E3" s="9"/>
      <c r="F3" s="9"/>
      <c r="G3" s="9"/>
    </row>
    <row r="4" spans="1:7" ht="23" x14ac:dyDescent="0.35">
      <c r="A4" s="8">
        <v>3</v>
      </c>
      <c r="B4" s="8" t="s">
        <v>377</v>
      </c>
      <c r="C4" s="8" t="s">
        <v>378</v>
      </c>
      <c r="D4" s="8" t="s">
        <v>379</v>
      </c>
      <c r="E4" s="9"/>
      <c r="F4" s="9"/>
      <c r="G4" s="9"/>
    </row>
    <row r="5" spans="1:7" ht="23" x14ac:dyDescent="0.35">
      <c r="A5" s="8">
        <v>4</v>
      </c>
      <c r="B5" s="8" t="s">
        <v>380</v>
      </c>
      <c r="C5" s="8" t="s">
        <v>369</v>
      </c>
      <c r="D5" s="8" t="s">
        <v>381</v>
      </c>
      <c r="E5" s="9"/>
      <c r="F5" s="9"/>
      <c r="G5" s="9"/>
    </row>
    <row r="6" spans="1:7" ht="23" x14ac:dyDescent="0.35">
      <c r="A6" s="8">
        <v>5</v>
      </c>
      <c r="B6" s="8" t="s">
        <v>382</v>
      </c>
      <c r="C6" s="8" t="s">
        <v>383</v>
      </c>
      <c r="D6" s="8" t="s">
        <v>384</v>
      </c>
      <c r="E6" s="9"/>
      <c r="F6" s="9"/>
      <c r="G6" s="9"/>
    </row>
    <row r="7" spans="1:7" ht="23" x14ac:dyDescent="0.35">
      <c r="A7" s="8">
        <v>6</v>
      </c>
      <c r="B7" s="8" t="s">
        <v>385</v>
      </c>
      <c r="C7" s="8" t="s">
        <v>384</v>
      </c>
      <c r="D7" s="8" t="s">
        <v>386</v>
      </c>
      <c r="E7" s="9"/>
      <c r="F7" s="9"/>
      <c r="G7" s="9"/>
    </row>
    <row r="8" spans="1:7" x14ac:dyDescent="0.35">
      <c r="A8" s="8">
        <v>7</v>
      </c>
      <c r="B8" s="8" t="s">
        <v>387</v>
      </c>
      <c r="C8" s="8" t="s">
        <v>388</v>
      </c>
      <c r="D8" s="8" t="s">
        <v>389</v>
      </c>
      <c r="E8" s="9"/>
      <c r="F8" s="9"/>
      <c r="G8"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Matrix</vt:lpstr>
      <vt:lpstr>Example — one stack</vt:lpstr>
      <vt:lpstr>States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Plant</cp:lastModifiedBy>
  <dcterms:created xsi:type="dcterms:W3CDTF">2026-10-11T22:59:42Z</dcterms:created>
  <dcterms:modified xsi:type="dcterms:W3CDTF">2026-10-11T23:00:15Z</dcterms:modified>
</cp:coreProperties>
</file>