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earnol\AppData\Local\Temp\"/>
    </mc:Choice>
  </mc:AlternateContent>
  <xr:revisionPtr revIDLastSave="0" documentId="8_{DACCC24F-5F06-47D6-A1FA-CB4B637F8195}" xr6:coauthVersionLast="47" xr6:coauthVersionMax="47" xr10:uidLastSave="{00000000-0000-0000-0000-000000000000}"/>
  <bookViews>
    <workbookView xWindow="-120" yWindow="-120" windowWidth="30960" windowHeight="15720" xr2:uid="{9710E6AA-E1DC-43D9-8030-1A533C19FD50}"/>
  </bookViews>
  <sheets>
    <sheet name="Read me" sheetId="3" r:id="rId1"/>
    <sheet name="Proposed rows" sheetId="1" r:id="rId2"/>
    <sheet name="Excluded (not proposed)" sheetId="2" r:id="rId3"/>
  </sheets>
  <calcPr calcId="0"/>
</workbook>
</file>

<file path=xl/sharedStrings.xml><?xml version="1.0" encoding="utf-8"?>
<sst xmlns="http://schemas.openxmlformats.org/spreadsheetml/2006/main" count="598" uniqueCount="306">
  <si>
    <t>Job Plan</t>
  </si>
  <si>
    <t>Description</t>
  </si>
  <si>
    <t>Event</t>
  </si>
  <si>
    <t>Rigs In Use (Known)</t>
  </si>
  <si>
    <t>Build Priority Block</t>
  </si>
  <si>
    <t>Branch</t>
  </si>
  <si>
    <t>Parallel Group</t>
  </si>
  <si>
    <t>Sequence Rank</t>
  </si>
  <si>
    <t>Predecessor Job Plan(s)</t>
  </si>
  <si>
    <t>Notes</t>
  </si>
  <si>
    <t>SFI Group ID (ref)</t>
  </si>
  <si>
    <t>Object Type (ref)</t>
  </si>
  <si>
    <t>REVIEW: Confidence</t>
  </si>
  <si>
    <t>REVIEW: Basis</t>
  </si>
  <si>
    <t>REVIEW: Modelled on</t>
  </si>
  <si>
    <t>REVIEW: Model description</t>
  </si>
  <si>
    <t>REVIEW: Open WOs</t>
  </si>
  <si>
    <t>REVIEW: Rigs</t>
  </si>
  <si>
    <t>REVIEW: Locations</t>
  </si>
  <si>
    <t>REVIEW: Maximo duration (h)</t>
  </si>
  <si>
    <t>REVIEW: In Durations workbook</t>
  </si>
  <si>
    <t>0900-UB90122</t>
  </si>
  <si>
    <t>12M NXT BOP BODY INSPECTION</t>
  </si>
  <si>
    <t>Lower BOP</t>
  </si>
  <si>
    <t>Lower BOP General</t>
  </si>
  <si>
    <t>DRAFT 13 Oct 2026 - proposed by Argo Navis from the existing map; review before adding</t>
  </si>
  <si>
    <t>UB</t>
  </si>
  <si>
    <t>High</t>
  </si>
  <si>
    <t>same location: 73% of mapped work there is Lower BOP / Lower BOP General; nearest plan by description 0900-UB90021 (33% match)</t>
  </si>
  <si>
    <t>0900-UB90021</t>
  </si>
  <si>
    <t>60M RAM BODY INSPECTION</t>
  </si>
  <si>
    <t>West Tellus; West Jupiter</t>
  </si>
  <si>
    <t>331.BOP.360, 331.BOP.370, 331.BOP.340, 331.BOP.350, 331.BOP.310, 331.BOP.330, 331.BOP.320</t>
  </si>
  <si>
    <t>no - Argo Navis uses the Maximo duration (flagged)</t>
  </si>
  <si>
    <t>0900-UB90129</t>
  </si>
  <si>
    <t>BWM RAM BLOCKS INSPECTION</t>
  </si>
  <si>
    <t>BWM</t>
  </si>
  <si>
    <t>same location: 91% of mapped work there is Lower BOP / Lower BOP General; nearest plan by description 0900-UB0214 (67% match)</t>
  </si>
  <si>
    <t>0900-UB0214</t>
  </si>
  <si>
    <t>12M PIPE RAM BLOCK INSPECTION</t>
  </si>
  <si>
    <t>West Jupiter</t>
  </si>
  <si>
    <t>331.BOP.314, 331.BOP.324, 331.BOP.334, 331.BOP.344, 331.BOP.354, 331.BOP.364, 331.BOP.375, 331.BOP.315, 331.BOP.335, 331.BOP.325, 331.BOP.345, 331.BOP.355, 331.BOP.365, 331.BOP.374</t>
  </si>
  <si>
    <t>0900-IF0003</t>
  </si>
  <si>
    <t>12M LOCAL CONTROL PANEL INSPECTION</t>
  </si>
  <si>
    <t>Offline Ancillary</t>
  </si>
  <si>
    <t>Utility Systems</t>
  </si>
  <si>
    <t>339/337</t>
  </si>
  <si>
    <t>IF</t>
  </si>
  <si>
    <t>same location: 89% of mapped work there is Offline Ancillary / Utility Systems; nearest plan by description 0900-IU0001 (0% match)</t>
  </si>
  <si>
    <t>0900-IU0001</t>
  </si>
  <si>
    <t>12M TEST MANDREL FOR BOP - NDE INSPECTION</t>
  </si>
  <si>
    <t>West Polaris; West Vela; West Neptune; West Jupiter; West Carina; Sevan Louisiana</t>
  </si>
  <si>
    <t>339.MPD.500, 339.MPD.1250, 339.MPD.1210, 339.MPD.1240, 337.MWC</t>
  </si>
  <si>
    <t>0900-EE90061</t>
  </si>
  <si>
    <t>12M GENERAL INSTRUMENTATION ELECTRICAL INSPECTION</t>
  </si>
  <si>
    <t>339/336/337</t>
  </si>
  <si>
    <t>EE</t>
  </si>
  <si>
    <t>Low</t>
  </si>
  <si>
    <t>same location: 40% of mapped work there is Offline Ancillary / Utility Systems; nearest plan by description 0900-IU0001 (0% match)</t>
  </si>
  <si>
    <t>West Polaris; West Capella; West Gemini; West Neptune; West Jupiter; West Carina</t>
  </si>
  <si>
    <t>339.MPD.500, 339.MPD.1100, 336.MGS, 337.MWC</t>
  </si>
  <si>
    <t>0900-EF90051</t>
  </si>
  <si>
    <t>12M MOTOR AND STARTER ELECTRICAL INSPECTION</t>
  </si>
  <si>
    <t>337/339/332</t>
  </si>
  <si>
    <t>EF</t>
  </si>
  <si>
    <t>same location: 73% of mapped work there is Offline Ancillary / Utility Systems; nearest plan by description 0900-IU0001 (0% match)</t>
  </si>
  <si>
    <t>West Gemini; West Vela; West Neptune; West Jupiter; West Carina</t>
  </si>
  <si>
    <t>337.MWC, 339.MPD.1100, 332.BCSS.210, 332.BCSS.220, 332.BCSS.340, 332.BCSS.350, 332.BCSS.360</t>
  </si>
  <si>
    <t>0900-EE5006</t>
  </si>
  <si>
    <t>12M INSTRUMENTATION ELECTRICAL INSPECTION</t>
  </si>
  <si>
    <t>Riser System</t>
  </si>
  <si>
    <t>same location: 100% of mapped work there is Offline Ancillary / Riser System; nearest plan by description 0900-BR0201 (0% match)</t>
  </si>
  <si>
    <t>0900-BR0201</t>
  </si>
  <si>
    <t>BWM NOV TENSION RING ASSEMBLY INSPECTION</t>
  </si>
  <si>
    <t>Sonangol Quenguela; West Auriga; West Vela; West Tellus; West Jupiter; West Saturn</t>
  </si>
  <si>
    <t>335.RIS.650, 335.RIS.660</t>
  </si>
  <si>
    <t>0900-UB90125</t>
  </si>
  <si>
    <t>12M POSLOCK DOOR INSPECTION</t>
  </si>
  <si>
    <t>same location: 91% of mapped work there is Lower BOP / Lower BOP General; nearest plan by description 0900-UB0209 (25% match)</t>
  </si>
  <si>
    <t>0900-UB0209</t>
  </si>
  <si>
    <t>24M SHEAR RAM POSLOCK SERVICE</t>
  </si>
  <si>
    <t>331.BOP.333, 331.BOP.313, 331.BOP.332, 331.BOP.312, 331.BOP.323, 331.BOP.322</t>
  </si>
  <si>
    <t>0900-RG90021</t>
  </si>
  <si>
    <t>BWM FAILSAFE VALVES INSPECTION</t>
  </si>
  <si>
    <t>331/335</t>
  </si>
  <si>
    <t>RG</t>
  </si>
  <si>
    <t>same location: 100% of mapped work there is Lower BOP / Lower BOP General; nearest plan by description 0900-RG0201 (14% match)</t>
  </si>
  <si>
    <t>0900-RG0201</t>
  </si>
  <si>
    <t>BWM HYDRAULIC SPRING ASSIST HB GATE VALVE INSPECTION</t>
  </si>
  <si>
    <t>331.BOP.510, 331.LMRP.320, 331.LMRP.330, 335.RIS.510, 331.BOP.560, 331.BOP.550, 331.BOP.530, 331.LMRP.310, 331.BOP.540</t>
  </si>
  <si>
    <t>0900-UC90022</t>
  </si>
  <si>
    <t>12M C&amp;K MINI CONNECTORS INSPECTION</t>
  </si>
  <si>
    <t>UC</t>
  </si>
  <si>
    <t>same location: 100% of mapped work there is Lower BOP / Lower BOP General; nearest plan by description 0900-UC0117 (40% match)</t>
  </si>
  <si>
    <t>0900-UC0117</t>
  </si>
  <si>
    <t>30M MINI COLLET CONNECTOR OVERHAUL</t>
  </si>
  <si>
    <t>331.BOP.120, 331.LMRP.420, 331.LMRP.410, 331.BOP.130</t>
  </si>
  <si>
    <t>0900-UB90126</t>
  </si>
  <si>
    <t>BWM ULTRALOCK DOOR INSPECTION</t>
  </si>
  <si>
    <t>Medium</t>
  </si>
  <si>
    <t>same location: 57% of mapped work there is Lower BOP / Lower BOP General; nearest plan by description 0900-UB90128 (67% match)</t>
  </si>
  <si>
    <t>0900-UB90128</t>
  </si>
  <si>
    <t>12M ULTRALOCK DOOR FUNCTION &amp; CHAMBER TEST</t>
  </si>
  <si>
    <t>331.BOP.363, 331.BOP.352, 331.BOP.373, 331.BOP.362, 331.BOP.342, 331.BOP.353, 331.BOP.372, 331.BOP.343</t>
  </si>
  <si>
    <t>0900-UB90121</t>
  </si>
  <si>
    <t>BWM NXT BOP BODY INSPECTION</t>
  </si>
  <si>
    <t>331.BOP.310, 331.BOP.320, 331.BOP.330, 331.BOP.340, 331.BOP.350, 331.BOP.360, 331.BOP.370</t>
  </si>
  <si>
    <t>0900-UB90022</t>
  </si>
  <si>
    <t>12M RAM BLOCKS NDE INSPECTION</t>
  </si>
  <si>
    <t>same location: 79% of mapped work there is Lower BOP / Lower BOP General; nearest plan by description 0900-UB90220 (60% match)</t>
  </si>
  <si>
    <t>0900-UB90220</t>
  </si>
  <si>
    <t>12M LFS-5 SHEAR RAM BLOCKS NDE INSPECTION</t>
  </si>
  <si>
    <t>West Tellus</t>
  </si>
  <si>
    <t>331.BOP.335, 331.BOP.314, 331.BOP.334, 331.BOP.315, 331.BOP.324, 331.BOP.325</t>
  </si>
  <si>
    <t>0900-UB90124</t>
  </si>
  <si>
    <t>BWM POSLOCK DOOR INSPECTION</t>
  </si>
  <si>
    <t>331.BOP.312, 331.BOP.313, 331.BOP.322, 331.BOP.332, 331.BOP.333, 331.BOP.323</t>
  </si>
  <si>
    <t>0900-IA5000</t>
  </si>
  <si>
    <t>12M PLC ELECTRICAL INSPECTION</t>
  </si>
  <si>
    <t>MPD</t>
  </si>
  <si>
    <t>339/314</t>
  </si>
  <si>
    <t>IA</t>
  </si>
  <si>
    <t>same location: 55% of mapped work there is Offline Ancillary / MPD; nearest plan by description 0900-CV85001 (0% match)</t>
  </si>
  <si>
    <t>0900-CV85001</t>
  </si>
  <si>
    <t>12M GLYCOL INJECTION UNIT ELECTRICAL INSPECTION</t>
  </si>
  <si>
    <t>West Capella; West Neptune; West Saturn; West Carina</t>
  </si>
  <si>
    <t>339.MPD.1100, 314.WLT</t>
  </si>
  <si>
    <t>0900-UA90022</t>
  </si>
  <si>
    <t>12M SBOP INSPECTION</t>
  </si>
  <si>
    <t>LMRP</t>
  </si>
  <si>
    <t>Annulars</t>
  </si>
  <si>
    <t>UA</t>
  </si>
  <si>
    <t>same location: 100% of mapped work there is LMRP / Annulars; nearest plan by description 0900-UA0201 (0% match)</t>
  </si>
  <si>
    <t>0900-UA0201</t>
  </si>
  <si>
    <t>BWM ANNULAR BOP INSPECTION</t>
  </si>
  <si>
    <t>331.LMRP.600, 331.LMRP.700</t>
  </si>
  <si>
    <t>0900-UC90021</t>
  </si>
  <si>
    <t>BWM C&amp;K MINI CONNECTORS INSPECTION</t>
  </si>
  <si>
    <t>331.BOP.120, 331.BOP.130, 331.LMRP.410, 331.LMRP.420</t>
  </si>
  <si>
    <t>0900-EB5000</t>
  </si>
  <si>
    <t>12M BATTERY CHARGER / UPS ELECTRICAL INSPECTION</t>
  </si>
  <si>
    <t>Controls</t>
  </si>
  <si>
    <t>Control System</t>
  </si>
  <si>
    <t>EB</t>
  </si>
  <si>
    <t>same location: 100% of mapped work there is Controls / Control System; nearest plan by description 0900-EB0101 (33% match)</t>
  </si>
  <si>
    <t>0900-EB0101</t>
  </si>
  <si>
    <t>BWM BOP UPS ELECTRICAL INSPECTION</t>
  </si>
  <si>
    <t>West Jupiter; West Carina</t>
  </si>
  <si>
    <t>332.BCSS.811, 332.BCSS.812</t>
  </si>
  <si>
    <t>0900-RH90121</t>
  </si>
  <si>
    <t>BWM SPOOLS &amp; BLOCKS INSPECTION</t>
  </si>
  <si>
    <t>RH</t>
  </si>
  <si>
    <t>same location: 84% of mapped work there is Lower BOP / Lower BOP General; nearest plan by description 0900-RH0202 (25% match)</t>
  </si>
  <si>
    <t>0900-RH0202</t>
  </si>
  <si>
    <t>BWM BOP SUBSEA CHOKE AND KILL SPOOL INSPECTION</t>
  </si>
  <si>
    <t>331.BOP.610, 331.BOP.620, 331.LMRP.500</t>
  </si>
  <si>
    <t>0900-EB90055</t>
  </si>
  <si>
    <t>60M UPS ELECTRICAL INSPECTION</t>
  </si>
  <si>
    <t>332/339</t>
  </si>
  <si>
    <t>same location: 100% of mapped work there is Offline Ancillary / MPD; nearest plan by description 0900-CV85001 (0% match)</t>
  </si>
  <si>
    <t>Sonangol Quenguela; West Carina</t>
  </si>
  <si>
    <t>332.BCSS.810, 339.MPD.1220</t>
  </si>
  <si>
    <t>0900-IA90061</t>
  </si>
  <si>
    <t>6M INSTRUMENT (PLC / PC) CABINET INSPECTION</t>
  </si>
  <si>
    <t>same equipment group: 87% of mapped work there is Offline Ancillary / MPD; nearest plan by description 0900-CV85001 (0% match)</t>
  </si>
  <si>
    <t>West Polaris; West Vela</t>
  </si>
  <si>
    <t>339.MPD.1230</t>
  </si>
  <si>
    <t>0900-CV90121</t>
  </si>
  <si>
    <t>BWM MPD UMBILICAL INSPECTION</t>
  </si>
  <si>
    <t>CV</t>
  </si>
  <si>
    <t>same location: 100% of mapped work there is Offline Ancillary / MPD; nearest plan by description 0900-CV0032 (67% match)</t>
  </si>
  <si>
    <t>0900-CV0032</t>
  </si>
  <si>
    <t>BWM MPD UMBILICAL REEL INSPECTION</t>
  </si>
  <si>
    <t>West Polaris; West Neptune</t>
  </si>
  <si>
    <t>339.MPD.410</t>
  </si>
  <si>
    <t>0900-BE90024</t>
  </si>
  <si>
    <t>BWM DIVERTER ASSEMBLY INSPECTION</t>
  </si>
  <si>
    <t>Diverter</t>
  </si>
  <si>
    <t>BE</t>
  </si>
  <si>
    <t>same location: 71% of mapped work there is Offline Ancillary / Diverter; nearest plan by description 0900-BE0206 (100% match)</t>
  </si>
  <si>
    <t>0900-BE0206</t>
  </si>
  <si>
    <t>12M DIVERTER ASSEMBLY (21 1/4" Shaffer) SERVICE</t>
  </si>
  <si>
    <t>West Capella; West Tellus</t>
  </si>
  <si>
    <t>334.DIV.300</t>
  </si>
  <si>
    <t>0900-EB5002</t>
  </si>
  <si>
    <t>12M BATTERY CAPACITY/DRAW DOWN ELECTRICAL TEST</t>
  </si>
  <si>
    <t>West Auriga; West Vela</t>
  </si>
  <si>
    <t>339.MPD.1220</t>
  </si>
  <si>
    <t>0900-UR90122</t>
  </si>
  <si>
    <t>12M RISER ADAPTER INSPECTION</t>
  </si>
  <si>
    <t>UR</t>
  </si>
  <si>
    <t>same location: 100% of mapped work there is Offline Ancillary / Riser System; nearest plan by description 0900-UR0202 (100% match)</t>
  </si>
  <si>
    <t>0900-UR0202</t>
  </si>
  <si>
    <t>BWM RISER ADAPTER INSPECTION</t>
  </si>
  <si>
    <t>335.RIS.410</t>
  </si>
  <si>
    <t>0900-DP90021</t>
  </si>
  <si>
    <t>BWM NOV SHAFFER HYDRAULIC RISER RUNNING TOOL INSPECTION</t>
  </si>
  <si>
    <t>DP</t>
  </si>
  <si>
    <t>same location: 100% of mapped work there is Offline Ancillary / Riser System; nearest plan by description 0900-DP0205 (100% match)</t>
  </si>
  <si>
    <t>0900-DP0205</t>
  </si>
  <si>
    <t>12M NOV SHAFFER HYDRAULIC RISER RUNNING TOOL INSPECTION</t>
  </si>
  <si>
    <t>0900-DP90022</t>
  </si>
  <si>
    <t>12M NOV SHAFFER HYDRAULIC RISER RUNNING TOOL NDT</t>
  </si>
  <si>
    <t>same location: 100% of mapped work there is Offline Ancillary / Riser System; nearest plan by description 0900-DP0205 (80% match)</t>
  </si>
  <si>
    <t>0900-UA90021</t>
  </si>
  <si>
    <t>BWM SBOP INSPECTION</t>
  </si>
  <si>
    <t>0900-RR90171</t>
  </si>
  <si>
    <t>12M BX TITAN VALVE MECHANICAL SERVICE</t>
  </si>
  <si>
    <t>Choke and Kill</t>
  </si>
  <si>
    <t>RR</t>
  </si>
  <si>
    <t>same location: 53% of mapped work there is Offline Ancillary / Choke and Kill; nearest plan by description 0900-RG0802 (20% match)</t>
  </si>
  <si>
    <t>0900-RG0802</t>
  </si>
  <si>
    <t>60M CHOKE VALVES  OVERHAUL</t>
  </si>
  <si>
    <t>Sonangol Quenguela</t>
  </si>
  <si>
    <t>336.CK</t>
  </si>
  <si>
    <t>0900-XX90021</t>
  </si>
  <si>
    <t>OIL SAMPLING - 3.PARTY ANALYSIS ONSHORE</t>
  </si>
  <si>
    <t>XX</t>
  </si>
  <si>
    <t>no mapped plan shares its locations - placed by description only; review</t>
  </si>
  <si>
    <t>0900-XX0101</t>
  </si>
  <si>
    <t>1M BOP FLUID SAMPLING INSPECTION</t>
  </si>
  <si>
    <t>West Elara</t>
  </si>
  <si>
    <t>314.TEN</t>
  </si>
  <si>
    <t>0900-WW90022</t>
  </si>
  <si>
    <t>12M NOV SHAFFER HYD. SPIDER GIMBAL AND CONTROL PANEL INSPECTION</t>
  </si>
  <si>
    <t>WW</t>
  </si>
  <si>
    <t>same location: 100% of mapped work there is Controls / Control System; nearest plan by description 0900-WW0202 (100% match)</t>
  </si>
  <si>
    <t>0900-WW0202</t>
  </si>
  <si>
    <t>12M NOV SHAFFER HYD. SPIDER GIMBAL AND CONTROL PANEL SERVICE</t>
  </si>
  <si>
    <t>335.RIS.600</t>
  </si>
  <si>
    <t>0900-BE90022</t>
  </si>
  <si>
    <t>12M DIVERTER HOUSING INSPECTION</t>
  </si>
  <si>
    <t>same location: 100% of mapped work there is Offline Ancillary / Diverter; nearest plan by description 0900-BE0203 (100% match)</t>
  </si>
  <si>
    <t>0900-BE0203</t>
  </si>
  <si>
    <t>BWM DIVERTER HOUSING INSPECTION</t>
  </si>
  <si>
    <t>334.DIV.200</t>
  </si>
  <si>
    <t>0900-BE90021</t>
  </si>
  <si>
    <t>0900-WW90021</t>
  </si>
  <si>
    <t>BWM NOV SHAFFER HYD. SPIDER GIMBAL AND CONTROL PANEL INSPECTION</t>
  </si>
  <si>
    <t>0900-UE90021</t>
  </si>
  <si>
    <t>BWM BOP MANDREL INSPECTION</t>
  </si>
  <si>
    <t>UE</t>
  </si>
  <si>
    <t>same location: 100% of mapped work there is Lower BOP / Lower BOP General; nearest plan by description 0900-RG0201 (0% match)</t>
  </si>
  <si>
    <t>331.BOP.110</t>
  </si>
  <si>
    <t>0900-UR90121</t>
  </si>
  <si>
    <t>0900-CU0004</t>
  </si>
  <si>
    <t>1M OXYGEN MONITOR INSPECTION</t>
  </si>
  <si>
    <t>CU</t>
  </si>
  <si>
    <t>same location: 92% of mapped work there is Offline Ancillary / Utility Systems; nearest plan by description 0900-IU0001 (0% match)</t>
  </si>
  <si>
    <t>West Saturn</t>
  </si>
  <si>
    <t>337.MWC</t>
  </si>
  <si>
    <t>Open WOs (in scope)</t>
  </si>
  <si>
    <t>Rigs</t>
  </si>
  <si>
    <t>Reason on the Excluded sheet</t>
  </si>
  <si>
    <t>Branch (before exclusion)</t>
  </si>
  <si>
    <t>Parallel Group (before exclusion)</t>
  </si>
  <si>
    <t>0900-UB0101</t>
  </si>
  <si>
    <t>7D BOP SUBSEA FUNCTION TEST</t>
  </si>
  <si>
    <t>Sonangol Libongos; Sonangol Quenguela; West Capella; West Gemini; West Jupiter; West Neptune; West Polaris; West Saturn; West Vela</t>
  </si>
  <si>
    <t>Flagged red - not done by subsea or electrical department</t>
  </si>
  <si>
    <t>Testing</t>
  </si>
  <si>
    <t>BOP</t>
  </si>
  <si>
    <t>0900-UB0102</t>
  </si>
  <si>
    <t>21D BOP SUBSEA PRESSURE TEST</t>
  </si>
  <si>
    <t>Sonangol Libongos; Sonangol Quenguela; West Capella; West Gemini; West Jupiter; West Polaris; West Saturn; West Tellus; West Vela</t>
  </si>
  <si>
    <t>0900-UB0224</t>
  </si>
  <si>
    <t>21 DAYS ACOUSTIC CONTROL COMMUNICATION SUBSEA TEST</t>
  </si>
  <si>
    <t>Sonangol Libongos; Sonangol Quenguela; West Auriga; West Gemini; West Saturn; West Tellus</t>
  </si>
  <si>
    <t>General</t>
  </si>
  <si>
    <t>0900-UP0133</t>
  </si>
  <si>
    <t>12M SHEAR RAMS ROV INTERVENTION FUNCTION TEST - SUBSEA</t>
  </si>
  <si>
    <t>Sonangol Libongos; West Carina; West Gemini; West Polaris; West Saturn; West Tellus; West Vela</t>
  </si>
  <si>
    <t>0900-UB80091</t>
  </si>
  <si>
    <t>90D HP SHEAR RAM FUNCTION TEST</t>
  </si>
  <si>
    <t>Sonangol Quenguela; West Auriga; West Gemini; West Jupiter; West Polaris; West Saturn</t>
  </si>
  <si>
    <t>0900-UB80092</t>
  </si>
  <si>
    <t>INITIAL BOP SUBSEA FUNCTION TEST</t>
  </si>
  <si>
    <t>Sonangol Libongos; Sonangol Quenguela; West Jupiter; West Neptune; West Polaris; West Tellus; West Vela</t>
  </si>
  <si>
    <t>0900-BT0201</t>
  </si>
  <si>
    <t>BWM INITIAL SUBSEA EMERGENCY ACCUMULATOR DRAWDOWN TEST</t>
  </si>
  <si>
    <t>West Jupiter; West Neptune; West Polaris; West Tellus; West Vela</t>
  </si>
  <si>
    <t>Accumulators</t>
  </si>
  <si>
    <t>0900-BT0203</t>
  </si>
  <si>
    <t>6M ACCUMULATOR DRAWDOWN TEST - SUBSEA</t>
  </si>
  <si>
    <t>Sonangol Quenguela; West Neptune; West Polaris; West Tellus; West Vela</t>
  </si>
  <si>
    <t>0900-BE0201</t>
  </si>
  <si>
    <t>DIVERTER 21 DAY SYSTEM FUNCTION TEST</t>
  </si>
  <si>
    <t>West Auriga; West Capella; West Gemini; West Tellus</t>
  </si>
  <si>
    <t>0900-UB0226</t>
  </si>
  <si>
    <t>6M ACOUSTIC CONTROL SYST. FUNCTION TEST - SUBSEA</t>
  </si>
  <si>
    <t>Sonangol Quenguela; West Gemini; West Polaris; West Tellus</t>
  </si>
  <si>
    <t>0900-UB0228</t>
  </si>
  <si>
    <t>60M EMERGENCY SYSTEM SUBSEA TEST</t>
  </si>
  <si>
    <t>Sevan Louisiana; Sonangol Quenguela; West Gemini</t>
  </si>
  <si>
    <t>0900-BT0202</t>
  </si>
  <si>
    <t>6M EMERGENCY ACCUMULATOR DRAWDOWN TEST - SUBSEA</t>
  </si>
  <si>
    <t>Sonangol Quenguela; West Polaris; West Vela</t>
  </si>
  <si>
    <t>Branch &amp; Sequence Map additions - DRAFT for Dan Plant</t>
  </si>
  <si>
    <t>- Prepared 13 Oct 2026 by Argo Navis for Lee Arnold, for Dan to review. Nothing has been changed in Job Plan Branch  Sequence Map.xlsx.</t>
  </si>
  <si>
    <t>- Why: 36 job plans used by open in-scope work orders are on neither sheet of the Branch Map, so Argo Navis shows them as "Unassigned" (not sequenced). Lee has now exported all of them from Maximo (Job plan detailed - missing plans 2026-10-13.xlsx).</t>
  </si>
  <si>
    <t>- Proposed rows (sheet 2) are in the Branch Map's own column order (A-L), so a reviewed row can be copied straight across. Columns M onwards (REVIEW, yellow) are for the review only.</t>
  </si>
  <si>
    <t>- Method: each plan takes the Branch / Parallel Group used by the existing mapped plans whose work orders sit at the same Maximo locations (weighted by work orders); if none share a location, the same equipment group (e.g. 331.BOP). Sequence Rank and Predecessors are copied from the closest-described plan in that group ("Modelled on") - many of these are site variants (e.g. 0900-UB90122 vs 0900-UB90021).</t>
  </si>
  <si>
    <t>- Confidence: High = same location and at least 70% of the mapped work there agrees; Medium = a majority agrees; Low = weak evidence (0900-EE90061, 0900-XX90021) - place by judgement.</t>
  </si>
  <si>
    <t>- Durations: Argo Navis now uses each plan's Maximo job plan duration where Job Plans and Durations.xlsm has none, flagged "Maximo" in the tool.</t>
  </si>
  <si>
    <t>- Sheet 3 lists the 12 in-scope plans already on your Excluded sheet. They are not proposed; Argo Navis now reads that sheet and defers their work orders by default with a red badge.</t>
  </si>
  <si>
    <t>- Still missing from Lee's export: 0900-UR0007 and 0900-UR90021 (no saved job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</si>
</sst>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B3261E"/>
      <name val="Aptos Narrow"/>
      <family val="2"/>
      <scheme val="minor"/>
    </font>
    <font>
      <b/>
      <sz val="15"/>
      <color rgb="FF002C77"/>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8" fillId="33" borderId="0" xfId="0" applyFont="1" applyFill="1" applyAlignment="1">
      <alignment wrapText="1"/>
    </xf>
    <xf numFmtId="0" fontId="19"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rgb="FFFFC7CE"/>
        </patternFill>
      </fill>
    </dxf>
    <dxf>
      <fill>
        <patternFill>
          <bgColor rgb="FFFFEB9C"/>
        </patternFill>
      </fill>
    </dxf>
    <dxf>
      <fill>
        <patternFill>
          <bgColor rgb="FFC6EFCE"/>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FAD62-6680-41D8-B35C-8ADCD50C901D}" name="Proposed" displayName="Proposed" ref="A1:U37" totalsRowShown="0" headerRowDxfId="3">
  <autoFilter ref="A1:U37" xr:uid="{859FAD62-6680-41D8-B35C-8ADCD50C901D}"/>
  <tableColumns count="21">
    <tableColumn id="1" xr3:uid="{C058CBC8-4924-43E5-A74C-CCBDCBAD7CD5}" name="Job Plan"/>
    <tableColumn id="2" xr3:uid="{A86627C4-460C-40E3-8019-79FD142F46E0}" name="Description"/>
    <tableColumn id="3" xr3:uid="{34F64620-BF63-4F1F-A9A3-93127C1EB487}" name="Event"/>
    <tableColumn id="4" xr3:uid="{1A0A684B-A01A-4A54-84A4-4FB3476A309D}" name="Rigs In Use (Known)"/>
    <tableColumn id="5" xr3:uid="{7036569C-2729-4048-9F04-81226FDCB0FF}" name="Build Priority Block"/>
    <tableColumn id="6" xr3:uid="{C6B9BC39-5D74-44DB-B456-668B4BD06B04}" name="Branch"/>
    <tableColumn id="7" xr3:uid="{D075E155-5BE9-4461-BA9C-76190CB5854D}" name="Parallel Group"/>
    <tableColumn id="8" xr3:uid="{25DA9522-D9BD-4AC8-8EEC-46C6F2B6182A}" name="Sequence Rank"/>
    <tableColumn id="9" xr3:uid="{DAB9E490-990E-4398-8614-2D1AFFF0B2CC}" name="Predecessor Job Plan(s)"/>
    <tableColumn id="10" xr3:uid="{D243C318-A7BC-42A3-8B63-A89E421B08CC}" name="Notes"/>
    <tableColumn id="11" xr3:uid="{E2286C9F-32AF-49A5-A95B-8AA7A38D6AAE}" name="SFI Group ID (ref)"/>
    <tableColumn id="12" xr3:uid="{8E1381E7-3847-4920-8FA5-204F29955CDA}" name="Object Type (ref)"/>
    <tableColumn id="13" xr3:uid="{ED42DC07-1BB7-443F-9EDB-DB1BF3865D72}" name="REVIEW: Confidence"/>
    <tableColumn id="14" xr3:uid="{F4534445-01B8-4B07-AAE1-0A6372F1CE0B}" name="REVIEW: Basis"/>
    <tableColumn id="15" xr3:uid="{D28F0A1C-4121-46CA-9172-5793BF08EDBC}" name="REVIEW: Modelled on"/>
    <tableColumn id="16" xr3:uid="{1901DEF1-DEAD-4F70-96CD-118CD740DD5C}" name="REVIEW: Model description"/>
    <tableColumn id="17" xr3:uid="{AB6332F8-875A-4E67-BE91-21F6B8AABBB5}" name="REVIEW: Open WOs"/>
    <tableColumn id="18" xr3:uid="{E6B37D19-7EB2-4E79-8295-096348CEEF61}" name="REVIEW: Rigs"/>
    <tableColumn id="19" xr3:uid="{74C1457C-5DDB-4102-A815-E25E788FC2E0}" name="REVIEW: Locations"/>
    <tableColumn id="20" xr3:uid="{E9869EF4-49E6-4065-A799-652BE1B5268A}" name="REVIEW: Maximo duration (h)"/>
    <tableColumn id="21" xr3:uid="{AE251002-0D5E-4AA5-AF70-F47EC6EAA1AE}" name="REVIEW: In Durations workbo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C893D8-C383-4307-84F2-59CC2BB470E8}" name="Table2" displayName="Table2" ref="A1:G13" totalsRowShown="0">
  <autoFilter ref="A1:G13" xr:uid="{E8C893D8-C383-4307-84F2-59CC2BB470E8}"/>
  <tableColumns count="7">
    <tableColumn id="1" xr3:uid="{8310044F-3BD4-4D13-8C9E-F60E038F1113}" name="Job Plan"/>
    <tableColumn id="2" xr3:uid="{D55EEEC9-8BA1-4897-B8C5-0ED11476A0C9}" name="Description"/>
    <tableColumn id="3" xr3:uid="{55E9F3E4-90E2-4665-AA62-C53A5870EBCB}" name="Open WOs (in scope)"/>
    <tableColumn id="4" xr3:uid="{0F172489-7FA8-4494-9B89-5F367B4318C4}" name="Rigs"/>
    <tableColumn id="5" xr3:uid="{902C74AB-D410-48D9-8C7C-AEEE5F9630A5}" name="Reason on the Excluded sheet"/>
    <tableColumn id="6" xr3:uid="{0CEC3793-2DD3-4756-B2E6-472EED2768A0}" name="Branch (before exclusion)"/>
    <tableColumn id="7" xr3:uid="{416B005C-EA58-4FFF-B505-C149BDA8AF82}" name="Parallel Group (before exclu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9AE7-5529-41DD-B897-714810FD76F6}">
  <dimension ref="A1:H10"/>
  <sheetViews>
    <sheetView tabSelected="1" workbookViewId="0"/>
  </sheetViews>
  <sheetFormatPr defaultRowHeight="15" x14ac:dyDescent="0.25"/>
  <cols>
    <col min="1" max="1" width="20.7109375" customWidth="1"/>
    <col min="2" max="8" width="18.7109375" customWidth="1"/>
  </cols>
  <sheetData>
    <row r="1" spans="1:8" ht="19.5" x14ac:dyDescent="0.3">
      <c r="A1" s="3" t="s">
        <v>297</v>
      </c>
    </row>
    <row r="3" spans="1:8" ht="33.950000000000003" customHeight="1" x14ac:dyDescent="0.25">
      <c r="A3" s="4" t="s">
        <v>298</v>
      </c>
      <c r="B3" s="4"/>
      <c r="C3" s="4"/>
      <c r="D3" s="4"/>
      <c r="E3" s="4"/>
      <c r="F3" s="4"/>
      <c r="G3" s="4"/>
      <c r="H3" s="4"/>
    </row>
    <row r="4" spans="1:8" ht="33.950000000000003" customHeight="1" x14ac:dyDescent="0.25">
      <c r="A4" s="4" t="s">
        <v>299</v>
      </c>
      <c r="B4" s="4"/>
      <c r="C4" s="4"/>
      <c r="D4" s="4"/>
      <c r="E4" s="4"/>
      <c r="F4" s="4"/>
      <c r="G4" s="4"/>
      <c r="H4" s="4"/>
    </row>
    <row r="5" spans="1:8" ht="33.950000000000003" customHeight="1" x14ac:dyDescent="0.25">
      <c r="A5" s="4" t="s">
        <v>300</v>
      </c>
      <c r="B5" s="4"/>
      <c r="C5" s="4"/>
      <c r="D5" s="4"/>
      <c r="E5" s="4"/>
      <c r="F5" s="4"/>
      <c r="G5" s="4"/>
      <c r="H5" s="4"/>
    </row>
    <row r="6" spans="1:8" ht="33.950000000000003" customHeight="1" x14ac:dyDescent="0.25">
      <c r="A6" s="4" t="s">
        <v>301</v>
      </c>
      <c r="B6" s="4"/>
      <c r="C6" s="4"/>
      <c r="D6" s="4"/>
      <c r="E6" s="4"/>
      <c r="F6" s="4"/>
      <c r="G6" s="4"/>
      <c r="H6" s="4"/>
    </row>
    <row r="7" spans="1:8" ht="33.950000000000003" customHeight="1" x14ac:dyDescent="0.25">
      <c r="A7" s="4" t="s">
        <v>302</v>
      </c>
      <c r="B7" s="4"/>
      <c r="C7" s="4"/>
      <c r="D7" s="4"/>
      <c r="E7" s="4"/>
      <c r="F7" s="4"/>
      <c r="G7" s="4"/>
      <c r="H7" s="4"/>
    </row>
    <row r="8" spans="1:8" ht="33.950000000000003" customHeight="1" x14ac:dyDescent="0.25">
      <c r="A8" s="4" t="s">
        <v>303</v>
      </c>
      <c r="B8" s="4"/>
      <c r="C8" s="4"/>
      <c r="D8" s="4"/>
      <c r="E8" s="4"/>
      <c r="F8" s="4"/>
      <c r="G8" s="4"/>
      <c r="H8" s="4"/>
    </row>
    <row r="9" spans="1:8" ht="33.950000000000003" customHeight="1" x14ac:dyDescent="0.25">
      <c r="A9" s="4" t="s">
        <v>304</v>
      </c>
      <c r="B9" s="4"/>
      <c r="C9" s="4"/>
      <c r="D9" s="4"/>
      <c r="E9" s="4"/>
      <c r="F9" s="4"/>
      <c r="G9" s="4"/>
      <c r="H9" s="4"/>
    </row>
    <row r="10" spans="1:8" ht="33.950000000000003" customHeight="1" x14ac:dyDescent="0.25">
      <c r="A10" s="4" t="s">
        <v>305</v>
      </c>
      <c r="B10" s="4"/>
      <c r="C10" s="4"/>
      <c r="D10" s="4"/>
      <c r="E10" s="4"/>
      <c r="F10" s="4"/>
      <c r="G10" s="4"/>
      <c r="H10" s="4"/>
    </row>
  </sheetData>
  <mergeCells count="8">
    <mergeCell ref="A9:H9"/>
    <mergeCell ref="A10:H10"/>
    <mergeCell ref="A3:H3"/>
    <mergeCell ref="A4:H4"/>
    <mergeCell ref="A5:H5"/>
    <mergeCell ref="A6:H6"/>
    <mergeCell ref="A7:H7"/>
    <mergeCell ref="A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F3A30-0144-4F36-9043-1B281A4DB38A}">
  <dimension ref="A1:U37"/>
  <sheetViews>
    <sheetView workbookViewId="0">
      <pane ySplit="1" topLeftCell="A2" activePane="bottomLeft" state="frozenSplit"/>
      <selection pane="bottomLeft"/>
    </sheetView>
  </sheetViews>
  <sheetFormatPr defaultRowHeight="15" x14ac:dyDescent="0.25"/>
  <cols>
    <col min="1" max="1" width="14.7109375" customWidth="1"/>
    <col min="2" max="2" width="44.7109375" customWidth="1"/>
    <col min="3" max="9" width="14.7109375" customWidth="1"/>
    <col min="10" max="10" width="30.7109375" customWidth="1"/>
    <col min="11" max="13" width="14.7109375" customWidth="1"/>
    <col min="14" max="14" width="60.7109375" customWidth="1"/>
    <col min="15" max="15" width="14.7109375" customWidth="1"/>
    <col min="16" max="16" width="40.7109375" customWidth="1"/>
    <col min="17" max="17" width="14.7109375" customWidth="1"/>
    <col min="18" max="19" width="30.7109375" customWidth="1"/>
    <col min="20" max="21" width="14.7109375" customWidth="1"/>
  </cols>
  <sheetData>
    <row r="1" spans="1:21" ht="45"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row>
    <row r="2" spans="1:21" x14ac:dyDescent="0.25">
      <c r="A2" t="s">
        <v>21</v>
      </c>
      <c r="B2" t="s">
        <v>22</v>
      </c>
      <c r="F2" t="s">
        <v>23</v>
      </c>
      <c r="G2" t="s">
        <v>24</v>
      </c>
      <c r="H2">
        <v>79</v>
      </c>
      <c r="J2" t="s">
        <v>25</v>
      </c>
      <c r="K2">
        <v>331</v>
      </c>
      <c r="L2" t="s">
        <v>26</v>
      </c>
      <c r="M2" t="s">
        <v>27</v>
      </c>
      <c r="N2" t="s">
        <v>28</v>
      </c>
      <c r="O2" t="s">
        <v>29</v>
      </c>
      <c r="P2" t="s">
        <v>30</v>
      </c>
      <c r="Q2">
        <v>14</v>
      </c>
      <c r="R2" t="s">
        <v>31</v>
      </c>
      <c r="S2" t="s">
        <v>32</v>
      </c>
      <c r="T2">
        <v>2</v>
      </c>
      <c r="U2" t="s">
        <v>33</v>
      </c>
    </row>
    <row r="3" spans="1:21" x14ac:dyDescent="0.25">
      <c r="A3" t="s">
        <v>34</v>
      </c>
      <c r="B3" t="s">
        <v>35</v>
      </c>
      <c r="C3" t="s">
        <v>36</v>
      </c>
      <c r="F3" t="s">
        <v>23</v>
      </c>
      <c r="G3" t="s">
        <v>24</v>
      </c>
      <c r="H3">
        <v>33</v>
      </c>
      <c r="J3" t="s">
        <v>25</v>
      </c>
      <c r="K3">
        <v>331</v>
      </c>
      <c r="L3" t="s">
        <v>26</v>
      </c>
      <c r="M3" t="s">
        <v>27</v>
      </c>
      <c r="N3" t="s">
        <v>37</v>
      </c>
      <c r="O3" t="s">
        <v>38</v>
      </c>
      <c r="P3" t="s">
        <v>39</v>
      </c>
      <c r="Q3">
        <v>14</v>
      </c>
      <c r="R3" t="s">
        <v>40</v>
      </c>
      <c r="S3" t="s">
        <v>41</v>
      </c>
      <c r="T3">
        <v>3</v>
      </c>
      <c r="U3" t="s">
        <v>33</v>
      </c>
    </row>
    <row r="4" spans="1:21" x14ac:dyDescent="0.25">
      <c r="A4" t="s">
        <v>42</v>
      </c>
      <c r="B4" t="s">
        <v>43</v>
      </c>
      <c r="F4" t="s">
        <v>44</v>
      </c>
      <c r="G4" t="s">
        <v>45</v>
      </c>
      <c r="H4">
        <v>1</v>
      </c>
      <c r="J4" t="s">
        <v>25</v>
      </c>
      <c r="K4" t="s">
        <v>46</v>
      </c>
      <c r="L4" t="s">
        <v>47</v>
      </c>
      <c r="M4" t="s">
        <v>27</v>
      </c>
      <c r="N4" t="s">
        <v>48</v>
      </c>
      <c r="O4" t="s">
        <v>49</v>
      </c>
      <c r="P4" t="s">
        <v>50</v>
      </c>
      <c r="Q4">
        <v>13</v>
      </c>
      <c r="R4" t="s">
        <v>51</v>
      </c>
      <c r="S4" t="s">
        <v>52</v>
      </c>
      <c r="T4">
        <v>1.5</v>
      </c>
      <c r="U4" t="s">
        <v>33</v>
      </c>
    </row>
    <row r="5" spans="1:21" x14ac:dyDescent="0.25">
      <c r="A5" t="s">
        <v>53</v>
      </c>
      <c r="B5" t="s">
        <v>54</v>
      </c>
      <c r="F5" t="s">
        <v>44</v>
      </c>
      <c r="G5" t="s">
        <v>45</v>
      </c>
      <c r="H5">
        <v>1</v>
      </c>
      <c r="J5" t="s">
        <v>25</v>
      </c>
      <c r="K5" t="s">
        <v>55</v>
      </c>
      <c r="L5" t="s">
        <v>56</v>
      </c>
      <c r="M5" t="s">
        <v>57</v>
      </c>
      <c r="N5" t="s">
        <v>58</v>
      </c>
      <c r="O5" t="s">
        <v>49</v>
      </c>
      <c r="P5" t="s">
        <v>50</v>
      </c>
      <c r="Q5">
        <v>13</v>
      </c>
      <c r="R5" t="s">
        <v>59</v>
      </c>
      <c r="S5" t="s">
        <v>60</v>
      </c>
      <c r="T5">
        <v>1</v>
      </c>
      <c r="U5" t="s">
        <v>33</v>
      </c>
    </row>
    <row r="6" spans="1:21" x14ac:dyDescent="0.25">
      <c r="A6" t="s">
        <v>61</v>
      </c>
      <c r="B6" t="s">
        <v>62</v>
      </c>
      <c r="F6" t="s">
        <v>44</v>
      </c>
      <c r="G6" t="s">
        <v>45</v>
      </c>
      <c r="H6">
        <v>1</v>
      </c>
      <c r="J6" t="s">
        <v>25</v>
      </c>
      <c r="K6" t="s">
        <v>63</v>
      </c>
      <c r="L6" t="s">
        <v>64</v>
      </c>
      <c r="M6" t="s">
        <v>27</v>
      </c>
      <c r="N6" t="s">
        <v>65</v>
      </c>
      <c r="O6" t="s">
        <v>49</v>
      </c>
      <c r="P6" t="s">
        <v>50</v>
      </c>
      <c r="Q6">
        <v>13</v>
      </c>
      <c r="R6" t="s">
        <v>66</v>
      </c>
      <c r="S6" t="s">
        <v>67</v>
      </c>
      <c r="T6">
        <v>2</v>
      </c>
      <c r="U6" t="s">
        <v>33</v>
      </c>
    </row>
    <row r="7" spans="1:21" x14ac:dyDescent="0.25">
      <c r="A7" t="s">
        <v>68</v>
      </c>
      <c r="B7" t="s">
        <v>69</v>
      </c>
      <c r="F7" t="s">
        <v>44</v>
      </c>
      <c r="G7" t="s">
        <v>70</v>
      </c>
      <c r="H7">
        <v>3</v>
      </c>
      <c r="J7" t="s">
        <v>25</v>
      </c>
      <c r="K7">
        <v>335</v>
      </c>
      <c r="L7" t="s">
        <v>56</v>
      </c>
      <c r="M7" t="s">
        <v>27</v>
      </c>
      <c r="N7" t="s">
        <v>71</v>
      </c>
      <c r="O7" t="s">
        <v>72</v>
      </c>
      <c r="P7" t="s">
        <v>73</v>
      </c>
      <c r="Q7">
        <v>12</v>
      </c>
      <c r="R7" t="s">
        <v>74</v>
      </c>
      <c r="S7" t="s">
        <v>75</v>
      </c>
      <c r="T7">
        <v>2</v>
      </c>
      <c r="U7" t="s">
        <v>33</v>
      </c>
    </row>
    <row r="8" spans="1:21" x14ac:dyDescent="0.25">
      <c r="A8" t="s">
        <v>76</v>
      </c>
      <c r="B8" t="s">
        <v>77</v>
      </c>
      <c r="F8" t="s">
        <v>23</v>
      </c>
      <c r="G8" t="s">
        <v>24</v>
      </c>
      <c r="H8">
        <v>28</v>
      </c>
      <c r="J8" t="s">
        <v>25</v>
      </c>
      <c r="K8">
        <v>331</v>
      </c>
      <c r="L8" t="s">
        <v>26</v>
      </c>
      <c r="M8" t="s">
        <v>27</v>
      </c>
      <c r="N8" t="s">
        <v>78</v>
      </c>
      <c r="O8" t="s">
        <v>79</v>
      </c>
      <c r="P8" t="s">
        <v>80</v>
      </c>
      <c r="Q8">
        <v>12</v>
      </c>
      <c r="R8" t="s">
        <v>31</v>
      </c>
      <c r="S8" t="s">
        <v>81</v>
      </c>
      <c r="T8">
        <v>6</v>
      </c>
      <c r="U8" t="s">
        <v>33</v>
      </c>
    </row>
    <row r="9" spans="1:21" x14ac:dyDescent="0.25">
      <c r="A9" t="s">
        <v>82</v>
      </c>
      <c r="B9" t="s">
        <v>83</v>
      </c>
      <c r="C9" t="s">
        <v>36</v>
      </c>
      <c r="F9" t="s">
        <v>23</v>
      </c>
      <c r="G9" t="s">
        <v>24</v>
      </c>
      <c r="H9">
        <v>2</v>
      </c>
      <c r="J9" t="s">
        <v>25</v>
      </c>
      <c r="K9" t="s">
        <v>84</v>
      </c>
      <c r="L9" t="s">
        <v>85</v>
      </c>
      <c r="M9" t="s">
        <v>27</v>
      </c>
      <c r="N9" t="s">
        <v>86</v>
      </c>
      <c r="O9" t="s">
        <v>87</v>
      </c>
      <c r="P9" t="s">
        <v>88</v>
      </c>
      <c r="Q9">
        <v>9</v>
      </c>
      <c r="R9" t="s">
        <v>40</v>
      </c>
      <c r="S9" t="s">
        <v>89</v>
      </c>
      <c r="T9">
        <v>2</v>
      </c>
      <c r="U9" t="s">
        <v>33</v>
      </c>
    </row>
    <row r="10" spans="1:21" x14ac:dyDescent="0.25">
      <c r="A10" t="s">
        <v>90</v>
      </c>
      <c r="B10" t="s">
        <v>91</v>
      </c>
      <c r="F10" t="s">
        <v>23</v>
      </c>
      <c r="G10" t="s">
        <v>24</v>
      </c>
      <c r="H10">
        <v>90</v>
      </c>
      <c r="J10" t="s">
        <v>25</v>
      </c>
      <c r="K10">
        <v>331</v>
      </c>
      <c r="L10" t="s">
        <v>92</v>
      </c>
      <c r="M10" t="s">
        <v>27</v>
      </c>
      <c r="N10" t="s">
        <v>93</v>
      </c>
      <c r="O10" t="s">
        <v>94</v>
      </c>
      <c r="P10" t="s">
        <v>95</v>
      </c>
      <c r="Q10">
        <v>8</v>
      </c>
      <c r="R10" t="s">
        <v>31</v>
      </c>
      <c r="S10" t="s">
        <v>96</v>
      </c>
      <c r="T10">
        <v>4</v>
      </c>
      <c r="U10" t="s">
        <v>33</v>
      </c>
    </row>
    <row r="11" spans="1:21" x14ac:dyDescent="0.25">
      <c r="A11" t="s">
        <v>97</v>
      </c>
      <c r="B11" t="s">
        <v>98</v>
      </c>
      <c r="C11" t="s">
        <v>36</v>
      </c>
      <c r="F11" t="s">
        <v>23</v>
      </c>
      <c r="G11" t="s">
        <v>24</v>
      </c>
      <c r="H11">
        <v>80</v>
      </c>
      <c r="J11" t="s">
        <v>25</v>
      </c>
      <c r="K11">
        <v>331</v>
      </c>
      <c r="L11" t="s">
        <v>26</v>
      </c>
      <c r="M11" t="s">
        <v>99</v>
      </c>
      <c r="N11" t="s">
        <v>100</v>
      </c>
      <c r="O11" t="s">
        <v>101</v>
      </c>
      <c r="P11" t="s">
        <v>102</v>
      </c>
      <c r="Q11">
        <v>8</v>
      </c>
      <c r="R11" t="s">
        <v>40</v>
      </c>
      <c r="S11" t="s">
        <v>103</v>
      </c>
      <c r="T11">
        <v>2</v>
      </c>
      <c r="U11" t="s">
        <v>33</v>
      </c>
    </row>
    <row r="12" spans="1:21" x14ac:dyDescent="0.25">
      <c r="A12" t="s">
        <v>104</v>
      </c>
      <c r="B12" t="s">
        <v>105</v>
      </c>
      <c r="C12" t="s">
        <v>36</v>
      </c>
      <c r="F12" t="s">
        <v>23</v>
      </c>
      <c r="G12" t="s">
        <v>24</v>
      </c>
      <c r="H12">
        <v>79</v>
      </c>
      <c r="J12" t="s">
        <v>25</v>
      </c>
      <c r="K12">
        <v>331</v>
      </c>
      <c r="L12" t="s">
        <v>26</v>
      </c>
      <c r="M12" t="s">
        <v>27</v>
      </c>
      <c r="N12" t="s">
        <v>28</v>
      </c>
      <c r="O12" t="s">
        <v>29</v>
      </c>
      <c r="P12" t="s">
        <v>30</v>
      </c>
      <c r="Q12">
        <v>7</v>
      </c>
      <c r="R12" t="s">
        <v>40</v>
      </c>
      <c r="S12" t="s">
        <v>106</v>
      </c>
      <c r="T12">
        <v>2</v>
      </c>
      <c r="U12" t="s">
        <v>33</v>
      </c>
    </row>
    <row r="13" spans="1:21" x14ac:dyDescent="0.25">
      <c r="A13" t="s">
        <v>107</v>
      </c>
      <c r="B13" t="s">
        <v>108</v>
      </c>
      <c r="F13" t="s">
        <v>23</v>
      </c>
      <c r="G13" t="s">
        <v>24</v>
      </c>
      <c r="H13">
        <v>81</v>
      </c>
      <c r="J13" t="s">
        <v>25</v>
      </c>
      <c r="K13">
        <v>331</v>
      </c>
      <c r="L13" t="s">
        <v>26</v>
      </c>
      <c r="M13" t="s">
        <v>27</v>
      </c>
      <c r="N13" t="s">
        <v>109</v>
      </c>
      <c r="O13" t="s">
        <v>110</v>
      </c>
      <c r="P13" t="s">
        <v>111</v>
      </c>
      <c r="Q13">
        <v>6</v>
      </c>
      <c r="R13" t="s">
        <v>112</v>
      </c>
      <c r="S13" t="s">
        <v>113</v>
      </c>
      <c r="T13">
        <v>2</v>
      </c>
      <c r="U13" t="s">
        <v>33</v>
      </c>
    </row>
    <row r="14" spans="1:21" x14ac:dyDescent="0.25">
      <c r="A14" t="s">
        <v>114</v>
      </c>
      <c r="B14" t="s">
        <v>115</v>
      </c>
      <c r="C14" t="s">
        <v>36</v>
      </c>
      <c r="F14" t="s">
        <v>23</v>
      </c>
      <c r="G14" t="s">
        <v>24</v>
      </c>
      <c r="H14">
        <v>28</v>
      </c>
      <c r="J14" t="s">
        <v>25</v>
      </c>
      <c r="K14">
        <v>331</v>
      </c>
      <c r="L14" t="s">
        <v>26</v>
      </c>
      <c r="M14" t="s">
        <v>27</v>
      </c>
      <c r="N14" t="s">
        <v>78</v>
      </c>
      <c r="O14" t="s">
        <v>79</v>
      </c>
      <c r="P14" t="s">
        <v>80</v>
      </c>
      <c r="Q14">
        <v>6</v>
      </c>
      <c r="R14" t="s">
        <v>40</v>
      </c>
      <c r="S14" t="s">
        <v>116</v>
      </c>
      <c r="T14">
        <v>1</v>
      </c>
      <c r="U14" t="s">
        <v>33</v>
      </c>
    </row>
    <row r="15" spans="1:21" x14ac:dyDescent="0.25">
      <c r="A15" t="s">
        <v>117</v>
      </c>
      <c r="B15" t="s">
        <v>118</v>
      </c>
      <c r="F15" t="s">
        <v>44</v>
      </c>
      <c r="G15" t="s">
        <v>119</v>
      </c>
      <c r="H15">
        <v>21</v>
      </c>
      <c r="J15" t="s">
        <v>25</v>
      </c>
      <c r="K15" t="s">
        <v>120</v>
      </c>
      <c r="L15" t="s">
        <v>121</v>
      </c>
      <c r="M15" t="s">
        <v>99</v>
      </c>
      <c r="N15" t="s">
        <v>122</v>
      </c>
      <c r="O15" t="s">
        <v>123</v>
      </c>
      <c r="P15" t="s">
        <v>124</v>
      </c>
      <c r="Q15">
        <v>5</v>
      </c>
      <c r="R15" t="s">
        <v>125</v>
      </c>
      <c r="S15" t="s">
        <v>126</v>
      </c>
      <c r="T15">
        <v>1</v>
      </c>
      <c r="U15" t="s">
        <v>33</v>
      </c>
    </row>
    <row r="16" spans="1:21" x14ac:dyDescent="0.25">
      <c r="A16" t="s">
        <v>127</v>
      </c>
      <c r="B16" t="s">
        <v>128</v>
      </c>
      <c r="F16" t="s">
        <v>129</v>
      </c>
      <c r="G16" t="s">
        <v>130</v>
      </c>
      <c r="H16">
        <v>6</v>
      </c>
      <c r="J16" t="s">
        <v>25</v>
      </c>
      <c r="K16">
        <v>331</v>
      </c>
      <c r="L16" t="s">
        <v>131</v>
      </c>
      <c r="M16" t="s">
        <v>27</v>
      </c>
      <c r="N16" t="s">
        <v>132</v>
      </c>
      <c r="O16" t="s">
        <v>133</v>
      </c>
      <c r="P16" t="s">
        <v>134</v>
      </c>
      <c r="Q16">
        <v>4</v>
      </c>
      <c r="R16" t="s">
        <v>31</v>
      </c>
      <c r="S16" t="s">
        <v>135</v>
      </c>
      <c r="T16">
        <v>4</v>
      </c>
      <c r="U16" t="s">
        <v>33</v>
      </c>
    </row>
    <row r="17" spans="1:21" x14ac:dyDescent="0.25">
      <c r="A17" t="s">
        <v>136</v>
      </c>
      <c r="B17" t="s">
        <v>137</v>
      </c>
      <c r="C17" t="s">
        <v>36</v>
      </c>
      <c r="F17" t="s">
        <v>23</v>
      </c>
      <c r="G17" t="s">
        <v>24</v>
      </c>
      <c r="H17">
        <v>90</v>
      </c>
      <c r="J17" t="s">
        <v>25</v>
      </c>
      <c r="K17">
        <v>331</v>
      </c>
      <c r="L17" t="s">
        <v>92</v>
      </c>
      <c r="M17" t="s">
        <v>27</v>
      </c>
      <c r="N17" t="s">
        <v>93</v>
      </c>
      <c r="O17" t="s">
        <v>94</v>
      </c>
      <c r="P17" t="s">
        <v>95</v>
      </c>
      <c r="Q17">
        <v>4</v>
      </c>
      <c r="R17" t="s">
        <v>40</v>
      </c>
      <c r="S17" t="s">
        <v>138</v>
      </c>
      <c r="T17">
        <v>2</v>
      </c>
      <c r="U17" t="s">
        <v>33</v>
      </c>
    </row>
    <row r="18" spans="1:21" x14ac:dyDescent="0.25">
      <c r="A18" t="s">
        <v>139</v>
      </c>
      <c r="B18" t="s">
        <v>140</v>
      </c>
      <c r="F18" t="s">
        <v>141</v>
      </c>
      <c r="G18" t="s">
        <v>142</v>
      </c>
      <c r="H18">
        <v>92</v>
      </c>
      <c r="J18" t="s">
        <v>25</v>
      </c>
      <c r="K18">
        <v>332</v>
      </c>
      <c r="L18" t="s">
        <v>143</v>
      </c>
      <c r="M18" t="s">
        <v>27</v>
      </c>
      <c r="N18" t="s">
        <v>144</v>
      </c>
      <c r="O18" t="s">
        <v>145</v>
      </c>
      <c r="P18" t="s">
        <v>146</v>
      </c>
      <c r="Q18">
        <v>4</v>
      </c>
      <c r="R18" t="s">
        <v>147</v>
      </c>
      <c r="S18" t="s">
        <v>148</v>
      </c>
      <c r="T18">
        <v>1.5</v>
      </c>
      <c r="U18" t="s">
        <v>33</v>
      </c>
    </row>
    <row r="19" spans="1:21" x14ac:dyDescent="0.25">
      <c r="A19" t="s">
        <v>149</v>
      </c>
      <c r="B19" t="s">
        <v>150</v>
      </c>
      <c r="C19" t="s">
        <v>36</v>
      </c>
      <c r="F19" t="s">
        <v>23</v>
      </c>
      <c r="G19" t="s">
        <v>24</v>
      </c>
      <c r="H19">
        <v>6</v>
      </c>
      <c r="J19" t="s">
        <v>25</v>
      </c>
      <c r="K19">
        <v>331</v>
      </c>
      <c r="L19" t="s">
        <v>151</v>
      </c>
      <c r="M19" t="s">
        <v>27</v>
      </c>
      <c r="N19" t="s">
        <v>152</v>
      </c>
      <c r="O19" t="s">
        <v>153</v>
      </c>
      <c r="P19" t="s">
        <v>154</v>
      </c>
      <c r="Q19">
        <v>3</v>
      </c>
      <c r="R19" t="s">
        <v>40</v>
      </c>
      <c r="S19" t="s">
        <v>155</v>
      </c>
      <c r="T19">
        <v>1</v>
      </c>
      <c r="U19" t="s">
        <v>33</v>
      </c>
    </row>
    <row r="20" spans="1:21" x14ac:dyDescent="0.25">
      <c r="A20" t="s">
        <v>156</v>
      </c>
      <c r="B20" t="s">
        <v>157</v>
      </c>
      <c r="F20" t="s">
        <v>44</v>
      </c>
      <c r="G20" t="s">
        <v>119</v>
      </c>
      <c r="H20">
        <v>21</v>
      </c>
      <c r="J20" t="s">
        <v>25</v>
      </c>
      <c r="K20" t="s">
        <v>158</v>
      </c>
      <c r="L20" t="s">
        <v>143</v>
      </c>
      <c r="M20" t="s">
        <v>27</v>
      </c>
      <c r="N20" t="s">
        <v>159</v>
      </c>
      <c r="O20" t="s">
        <v>123</v>
      </c>
      <c r="P20" t="s">
        <v>124</v>
      </c>
      <c r="Q20">
        <v>2</v>
      </c>
      <c r="R20" t="s">
        <v>160</v>
      </c>
      <c r="S20" t="s">
        <v>161</v>
      </c>
      <c r="T20">
        <v>2.5</v>
      </c>
      <c r="U20" t="s">
        <v>33</v>
      </c>
    </row>
    <row r="21" spans="1:21" x14ac:dyDescent="0.25">
      <c r="A21" t="s">
        <v>162</v>
      </c>
      <c r="B21" t="s">
        <v>163</v>
      </c>
      <c r="F21" t="s">
        <v>44</v>
      </c>
      <c r="G21" t="s">
        <v>119</v>
      </c>
      <c r="H21">
        <v>21</v>
      </c>
      <c r="J21" t="s">
        <v>25</v>
      </c>
      <c r="K21">
        <v>339</v>
      </c>
      <c r="L21" t="s">
        <v>121</v>
      </c>
      <c r="M21" t="s">
        <v>99</v>
      </c>
      <c r="N21" t="s">
        <v>164</v>
      </c>
      <c r="O21" t="s">
        <v>123</v>
      </c>
      <c r="P21" t="s">
        <v>124</v>
      </c>
      <c r="Q21">
        <v>2</v>
      </c>
      <c r="R21" t="s">
        <v>165</v>
      </c>
      <c r="S21" t="s">
        <v>166</v>
      </c>
      <c r="T21">
        <v>1</v>
      </c>
      <c r="U21" t="s">
        <v>33</v>
      </c>
    </row>
    <row r="22" spans="1:21" x14ac:dyDescent="0.25">
      <c r="A22" t="s">
        <v>167</v>
      </c>
      <c r="B22" t="s">
        <v>168</v>
      </c>
      <c r="C22" t="s">
        <v>36</v>
      </c>
      <c r="F22" t="s">
        <v>44</v>
      </c>
      <c r="G22" t="s">
        <v>119</v>
      </c>
      <c r="H22">
        <v>14</v>
      </c>
      <c r="J22" t="s">
        <v>25</v>
      </c>
      <c r="K22">
        <v>339</v>
      </c>
      <c r="L22" t="s">
        <v>169</v>
      </c>
      <c r="M22" t="s">
        <v>27</v>
      </c>
      <c r="N22" t="s">
        <v>170</v>
      </c>
      <c r="O22" t="s">
        <v>171</v>
      </c>
      <c r="P22" t="s">
        <v>172</v>
      </c>
      <c r="Q22">
        <v>2</v>
      </c>
      <c r="R22" t="s">
        <v>173</v>
      </c>
      <c r="S22" t="s">
        <v>174</v>
      </c>
      <c r="T22">
        <v>2</v>
      </c>
      <c r="U22" t="s">
        <v>33</v>
      </c>
    </row>
    <row r="23" spans="1:21" x14ac:dyDescent="0.25">
      <c r="A23" t="s">
        <v>175</v>
      </c>
      <c r="B23" t="s">
        <v>176</v>
      </c>
      <c r="C23" t="s">
        <v>36</v>
      </c>
      <c r="F23" t="s">
        <v>44</v>
      </c>
      <c r="G23" t="s">
        <v>177</v>
      </c>
      <c r="H23">
        <v>3</v>
      </c>
      <c r="J23" t="s">
        <v>25</v>
      </c>
      <c r="K23">
        <v>334</v>
      </c>
      <c r="L23" t="s">
        <v>178</v>
      </c>
      <c r="M23" t="s">
        <v>27</v>
      </c>
      <c r="N23" t="s">
        <v>179</v>
      </c>
      <c r="O23" t="s">
        <v>180</v>
      </c>
      <c r="P23" t="s">
        <v>181</v>
      </c>
      <c r="Q23">
        <v>2</v>
      </c>
      <c r="R23" t="s">
        <v>182</v>
      </c>
      <c r="S23" t="s">
        <v>183</v>
      </c>
      <c r="T23">
        <v>4</v>
      </c>
      <c r="U23" t="s">
        <v>33</v>
      </c>
    </row>
    <row r="24" spans="1:21" x14ac:dyDescent="0.25">
      <c r="A24" t="s">
        <v>184</v>
      </c>
      <c r="B24" t="s">
        <v>185</v>
      </c>
      <c r="F24" t="s">
        <v>44</v>
      </c>
      <c r="G24" t="s">
        <v>119</v>
      </c>
      <c r="H24">
        <v>21</v>
      </c>
      <c r="J24" t="s">
        <v>25</v>
      </c>
      <c r="K24">
        <v>339</v>
      </c>
      <c r="L24" t="s">
        <v>143</v>
      </c>
      <c r="M24" t="s">
        <v>27</v>
      </c>
      <c r="N24" t="s">
        <v>159</v>
      </c>
      <c r="O24" t="s">
        <v>123</v>
      </c>
      <c r="P24" t="s">
        <v>124</v>
      </c>
      <c r="Q24">
        <v>2</v>
      </c>
      <c r="R24" t="s">
        <v>186</v>
      </c>
      <c r="S24" t="s">
        <v>187</v>
      </c>
      <c r="T24">
        <v>3</v>
      </c>
      <c r="U24" t="s">
        <v>33</v>
      </c>
    </row>
    <row r="25" spans="1:21" x14ac:dyDescent="0.25">
      <c r="A25" t="s">
        <v>188</v>
      </c>
      <c r="B25" t="s">
        <v>189</v>
      </c>
      <c r="F25" t="s">
        <v>44</v>
      </c>
      <c r="G25" t="s">
        <v>70</v>
      </c>
      <c r="H25">
        <v>37</v>
      </c>
      <c r="J25" t="s">
        <v>25</v>
      </c>
      <c r="K25">
        <v>335</v>
      </c>
      <c r="L25" t="s">
        <v>190</v>
      </c>
      <c r="M25" t="s">
        <v>27</v>
      </c>
      <c r="N25" t="s">
        <v>191</v>
      </c>
      <c r="O25" t="s">
        <v>192</v>
      </c>
      <c r="P25" t="s">
        <v>193</v>
      </c>
      <c r="Q25">
        <v>2</v>
      </c>
      <c r="R25" t="s">
        <v>31</v>
      </c>
      <c r="S25" t="s">
        <v>194</v>
      </c>
      <c r="T25">
        <v>4</v>
      </c>
      <c r="U25" t="s">
        <v>33</v>
      </c>
    </row>
    <row r="26" spans="1:21" x14ac:dyDescent="0.25">
      <c r="A26" t="s">
        <v>195</v>
      </c>
      <c r="B26" t="s">
        <v>196</v>
      </c>
      <c r="C26" t="s">
        <v>36</v>
      </c>
      <c r="F26" t="s">
        <v>44</v>
      </c>
      <c r="G26" t="s">
        <v>70</v>
      </c>
      <c r="H26">
        <v>74</v>
      </c>
      <c r="J26" t="s">
        <v>25</v>
      </c>
      <c r="K26">
        <v>335</v>
      </c>
      <c r="L26" t="s">
        <v>197</v>
      </c>
      <c r="M26" t="s">
        <v>27</v>
      </c>
      <c r="N26" t="s">
        <v>198</v>
      </c>
      <c r="O26" t="s">
        <v>199</v>
      </c>
      <c r="P26" t="s">
        <v>200</v>
      </c>
      <c r="Q26">
        <v>2</v>
      </c>
      <c r="R26" t="s">
        <v>112</v>
      </c>
      <c r="S26" t="s">
        <v>75</v>
      </c>
      <c r="T26">
        <v>3</v>
      </c>
      <c r="U26" t="s">
        <v>33</v>
      </c>
    </row>
    <row r="27" spans="1:21" x14ac:dyDescent="0.25">
      <c r="A27" t="s">
        <v>201</v>
      </c>
      <c r="B27" t="s">
        <v>202</v>
      </c>
      <c r="F27" t="s">
        <v>44</v>
      </c>
      <c r="G27" t="s">
        <v>70</v>
      </c>
      <c r="H27">
        <v>74</v>
      </c>
      <c r="J27" t="s">
        <v>25</v>
      </c>
      <c r="K27">
        <v>335</v>
      </c>
      <c r="L27" t="s">
        <v>197</v>
      </c>
      <c r="M27" t="s">
        <v>27</v>
      </c>
      <c r="N27" t="s">
        <v>203</v>
      </c>
      <c r="O27" t="s">
        <v>199</v>
      </c>
      <c r="P27" t="s">
        <v>200</v>
      </c>
      <c r="Q27">
        <v>2</v>
      </c>
      <c r="R27" t="s">
        <v>112</v>
      </c>
      <c r="S27" t="s">
        <v>75</v>
      </c>
      <c r="T27">
        <v>2</v>
      </c>
      <c r="U27" t="s">
        <v>33</v>
      </c>
    </row>
    <row r="28" spans="1:21" x14ac:dyDescent="0.25">
      <c r="A28" t="s">
        <v>204</v>
      </c>
      <c r="B28" t="s">
        <v>205</v>
      </c>
      <c r="C28" t="s">
        <v>36</v>
      </c>
      <c r="F28" t="s">
        <v>129</v>
      </c>
      <c r="G28" t="s">
        <v>130</v>
      </c>
      <c r="H28">
        <v>6</v>
      </c>
      <c r="J28" t="s">
        <v>25</v>
      </c>
      <c r="K28">
        <v>331</v>
      </c>
      <c r="L28" t="s">
        <v>131</v>
      </c>
      <c r="M28" t="s">
        <v>27</v>
      </c>
      <c r="N28" t="s">
        <v>132</v>
      </c>
      <c r="O28" t="s">
        <v>133</v>
      </c>
      <c r="P28" t="s">
        <v>134</v>
      </c>
      <c r="Q28">
        <v>2</v>
      </c>
      <c r="R28" t="s">
        <v>40</v>
      </c>
      <c r="S28" t="s">
        <v>135</v>
      </c>
      <c r="T28">
        <v>2</v>
      </c>
      <c r="U28" t="s">
        <v>33</v>
      </c>
    </row>
    <row r="29" spans="1:21" x14ac:dyDescent="0.25">
      <c r="A29" t="s">
        <v>206</v>
      </c>
      <c r="B29" t="s">
        <v>207</v>
      </c>
      <c r="F29" t="s">
        <v>44</v>
      </c>
      <c r="G29" t="s">
        <v>208</v>
      </c>
      <c r="H29">
        <v>25</v>
      </c>
      <c r="J29" t="s">
        <v>25</v>
      </c>
      <c r="K29">
        <v>336</v>
      </c>
      <c r="L29" t="s">
        <v>209</v>
      </c>
      <c r="M29" t="s">
        <v>99</v>
      </c>
      <c r="N29" t="s">
        <v>210</v>
      </c>
      <c r="O29" t="s">
        <v>211</v>
      </c>
      <c r="P29" t="s">
        <v>212</v>
      </c>
      <c r="Q29">
        <v>1</v>
      </c>
      <c r="R29" t="s">
        <v>213</v>
      </c>
      <c r="S29" t="s">
        <v>214</v>
      </c>
      <c r="T29">
        <v>12</v>
      </c>
      <c r="U29" t="s">
        <v>33</v>
      </c>
    </row>
    <row r="30" spans="1:21" x14ac:dyDescent="0.25">
      <c r="A30" t="s">
        <v>215</v>
      </c>
      <c r="B30" t="s">
        <v>216</v>
      </c>
      <c r="F30" t="s">
        <v>141</v>
      </c>
      <c r="G30" t="s">
        <v>142</v>
      </c>
      <c r="H30">
        <v>135</v>
      </c>
      <c r="J30" t="s">
        <v>25</v>
      </c>
      <c r="K30">
        <v>314</v>
      </c>
      <c r="L30" t="s">
        <v>217</v>
      </c>
      <c r="M30" t="s">
        <v>57</v>
      </c>
      <c r="N30" t="s">
        <v>218</v>
      </c>
      <c r="O30" t="s">
        <v>219</v>
      </c>
      <c r="P30" t="s">
        <v>220</v>
      </c>
      <c r="Q30">
        <v>1</v>
      </c>
      <c r="R30" t="s">
        <v>221</v>
      </c>
      <c r="S30" t="s">
        <v>222</v>
      </c>
      <c r="T30">
        <v>1</v>
      </c>
      <c r="U30" t="s">
        <v>33</v>
      </c>
    </row>
    <row r="31" spans="1:21" x14ac:dyDescent="0.25">
      <c r="A31" t="s">
        <v>223</v>
      </c>
      <c r="B31" t="s">
        <v>224</v>
      </c>
      <c r="F31" t="s">
        <v>141</v>
      </c>
      <c r="G31" t="s">
        <v>142</v>
      </c>
      <c r="H31">
        <v>133</v>
      </c>
      <c r="J31" t="s">
        <v>25</v>
      </c>
      <c r="K31">
        <v>335</v>
      </c>
      <c r="L31" t="s">
        <v>225</v>
      </c>
      <c r="M31" t="s">
        <v>27</v>
      </c>
      <c r="N31" t="s">
        <v>226</v>
      </c>
      <c r="O31" t="s">
        <v>227</v>
      </c>
      <c r="P31" t="s">
        <v>228</v>
      </c>
      <c r="Q31">
        <v>1</v>
      </c>
      <c r="R31" t="s">
        <v>112</v>
      </c>
      <c r="S31" t="s">
        <v>229</v>
      </c>
      <c r="T31">
        <v>6</v>
      </c>
      <c r="U31" t="s">
        <v>33</v>
      </c>
    </row>
    <row r="32" spans="1:21" x14ac:dyDescent="0.25">
      <c r="A32" t="s">
        <v>230</v>
      </c>
      <c r="B32" t="s">
        <v>231</v>
      </c>
      <c r="F32" t="s">
        <v>44</v>
      </c>
      <c r="G32" t="s">
        <v>177</v>
      </c>
      <c r="H32">
        <v>23</v>
      </c>
      <c r="J32" t="s">
        <v>25</v>
      </c>
      <c r="K32">
        <v>334</v>
      </c>
      <c r="L32" t="s">
        <v>178</v>
      </c>
      <c r="M32" t="s">
        <v>27</v>
      </c>
      <c r="N32" t="s">
        <v>232</v>
      </c>
      <c r="O32" t="s">
        <v>233</v>
      </c>
      <c r="P32" t="s">
        <v>234</v>
      </c>
      <c r="Q32">
        <v>1</v>
      </c>
      <c r="R32" t="s">
        <v>112</v>
      </c>
      <c r="S32" t="s">
        <v>235</v>
      </c>
      <c r="T32">
        <v>4</v>
      </c>
      <c r="U32" t="s">
        <v>33</v>
      </c>
    </row>
    <row r="33" spans="1:21" x14ac:dyDescent="0.25">
      <c r="A33" t="s">
        <v>236</v>
      </c>
      <c r="B33" t="s">
        <v>234</v>
      </c>
      <c r="C33" t="s">
        <v>36</v>
      </c>
      <c r="F33" t="s">
        <v>44</v>
      </c>
      <c r="G33" t="s">
        <v>177</v>
      </c>
      <c r="H33">
        <v>23</v>
      </c>
      <c r="J33" t="s">
        <v>25</v>
      </c>
      <c r="K33">
        <v>334</v>
      </c>
      <c r="L33" t="s">
        <v>178</v>
      </c>
      <c r="M33" t="s">
        <v>27</v>
      </c>
      <c r="N33" t="s">
        <v>232</v>
      </c>
      <c r="O33" t="s">
        <v>233</v>
      </c>
      <c r="P33" t="s">
        <v>234</v>
      </c>
      <c r="Q33">
        <v>1</v>
      </c>
      <c r="R33" t="s">
        <v>112</v>
      </c>
      <c r="S33" t="s">
        <v>235</v>
      </c>
      <c r="T33">
        <v>4</v>
      </c>
      <c r="U33" t="s">
        <v>33</v>
      </c>
    </row>
    <row r="34" spans="1:21" x14ac:dyDescent="0.25">
      <c r="A34" t="s">
        <v>237</v>
      </c>
      <c r="B34" t="s">
        <v>238</v>
      </c>
      <c r="C34" t="s">
        <v>36</v>
      </c>
      <c r="F34" t="s">
        <v>141</v>
      </c>
      <c r="G34" t="s">
        <v>142</v>
      </c>
      <c r="H34">
        <v>133</v>
      </c>
      <c r="J34" t="s">
        <v>25</v>
      </c>
      <c r="K34">
        <v>335</v>
      </c>
      <c r="L34" t="s">
        <v>225</v>
      </c>
      <c r="M34" t="s">
        <v>27</v>
      </c>
      <c r="N34" t="s">
        <v>226</v>
      </c>
      <c r="O34" t="s">
        <v>227</v>
      </c>
      <c r="P34" t="s">
        <v>228</v>
      </c>
      <c r="Q34">
        <v>1</v>
      </c>
      <c r="R34" t="s">
        <v>112</v>
      </c>
      <c r="S34" t="s">
        <v>229</v>
      </c>
      <c r="T34">
        <v>3</v>
      </c>
      <c r="U34" t="s">
        <v>33</v>
      </c>
    </row>
    <row r="35" spans="1:21" x14ac:dyDescent="0.25">
      <c r="A35" t="s">
        <v>239</v>
      </c>
      <c r="B35" t="s">
        <v>240</v>
      </c>
      <c r="C35" t="s">
        <v>36</v>
      </c>
      <c r="F35" t="s">
        <v>23</v>
      </c>
      <c r="G35" t="s">
        <v>24</v>
      </c>
      <c r="H35">
        <v>2</v>
      </c>
      <c r="J35" t="s">
        <v>25</v>
      </c>
      <c r="K35">
        <v>331</v>
      </c>
      <c r="L35" t="s">
        <v>241</v>
      </c>
      <c r="M35" t="s">
        <v>27</v>
      </c>
      <c r="N35" t="s">
        <v>242</v>
      </c>
      <c r="O35" t="s">
        <v>87</v>
      </c>
      <c r="P35" t="s">
        <v>88</v>
      </c>
      <c r="Q35">
        <v>1</v>
      </c>
      <c r="R35" t="s">
        <v>40</v>
      </c>
      <c r="S35" t="s">
        <v>243</v>
      </c>
      <c r="T35">
        <v>2</v>
      </c>
      <c r="U35" t="s">
        <v>33</v>
      </c>
    </row>
    <row r="36" spans="1:21" x14ac:dyDescent="0.25">
      <c r="A36" t="s">
        <v>244</v>
      </c>
      <c r="B36" t="s">
        <v>193</v>
      </c>
      <c r="C36" t="s">
        <v>36</v>
      </c>
      <c r="F36" t="s">
        <v>44</v>
      </c>
      <c r="G36" t="s">
        <v>70</v>
      </c>
      <c r="H36">
        <v>37</v>
      </c>
      <c r="J36" t="s">
        <v>25</v>
      </c>
      <c r="K36">
        <v>335</v>
      </c>
      <c r="L36" t="s">
        <v>190</v>
      </c>
      <c r="M36" t="s">
        <v>27</v>
      </c>
      <c r="N36" t="s">
        <v>191</v>
      </c>
      <c r="O36" t="s">
        <v>192</v>
      </c>
      <c r="P36" t="s">
        <v>193</v>
      </c>
      <c r="Q36">
        <v>1</v>
      </c>
      <c r="R36" t="s">
        <v>40</v>
      </c>
      <c r="S36" t="s">
        <v>194</v>
      </c>
      <c r="T36">
        <v>1</v>
      </c>
      <c r="U36" t="s">
        <v>33</v>
      </c>
    </row>
    <row r="37" spans="1:21" x14ac:dyDescent="0.25">
      <c r="A37" t="s">
        <v>245</v>
      </c>
      <c r="B37" t="s">
        <v>246</v>
      </c>
      <c r="F37" t="s">
        <v>44</v>
      </c>
      <c r="G37" t="s">
        <v>45</v>
      </c>
      <c r="H37">
        <v>1</v>
      </c>
      <c r="J37" t="s">
        <v>25</v>
      </c>
      <c r="K37">
        <v>337</v>
      </c>
      <c r="L37" t="s">
        <v>247</v>
      </c>
      <c r="M37" t="s">
        <v>27</v>
      </c>
      <c r="N37" t="s">
        <v>248</v>
      </c>
      <c r="O37" t="s">
        <v>49</v>
      </c>
      <c r="P37" t="s">
        <v>50</v>
      </c>
      <c r="Q37">
        <v>1</v>
      </c>
      <c r="R37" t="s">
        <v>249</v>
      </c>
      <c r="S37" t="s">
        <v>250</v>
      </c>
      <c r="T37">
        <v>2</v>
      </c>
      <c r="U37" t="s">
        <v>33</v>
      </c>
    </row>
  </sheetData>
  <conditionalFormatting sqref="M2:M37">
    <cfRule type="cellIs" dxfId="2" priority="1" stopIfTrue="1" operator="equal">
      <formula>"High"</formula>
    </cfRule>
    <cfRule type="cellIs" dxfId="1" priority="2" stopIfTrue="1" operator="equal">
      <formula>"Medium"</formula>
    </cfRule>
    <cfRule type="cellIs" dxfId="0" priority="3" stopIfTrue="1" operator="equal">
      <formula>"Low"</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28E0-3AC5-4BB1-9498-F8D3552918F3}">
  <dimension ref="A1:G13"/>
  <sheetViews>
    <sheetView workbookViewId="0"/>
  </sheetViews>
  <sheetFormatPr defaultRowHeight="15" x14ac:dyDescent="0.25"/>
  <cols>
    <col min="1" max="1" width="18.7109375" customWidth="1"/>
    <col min="2" max="2" width="50.7109375" customWidth="1"/>
    <col min="3" max="3" width="18.7109375" customWidth="1"/>
    <col min="4" max="4" width="40.7109375" customWidth="1"/>
    <col min="5" max="5" width="50.7109375" customWidth="1"/>
    <col min="6" max="7" width="18.7109375" customWidth="1"/>
  </cols>
  <sheetData>
    <row r="1" spans="1:7" x14ac:dyDescent="0.25">
      <c r="A1" t="s">
        <v>0</v>
      </c>
      <c r="B1" t="s">
        <v>1</v>
      </c>
      <c r="C1" t="s">
        <v>251</v>
      </c>
      <c r="D1" t="s">
        <v>252</v>
      </c>
      <c r="E1" t="s">
        <v>253</v>
      </c>
      <c r="F1" t="s">
        <v>254</v>
      </c>
      <c r="G1" t="s">
        <v>255</v>
      </c>
    </row>
    <row r="2" spans="1:7" x14ac:dyDescent="0.25">
      <c r="A2" t="s">
        <v>256</v>
      </c>
      <c r="B2" t="s">
        <v>257</v>
      </c>
      <c r="C2">
        <v>20</v>
      </c>
      <c r="D2" t="s">
        <v>258</v>
      </c>
      <c r="E2" t="s">
        <v>259</v>
      </c>
      <c r="F2" t="s">
        <v>260</v>
      </c>
      <c r="G2" t="s">
        <v>261</v>
      </c>
    </row>
    <row r="3" spans="1:7" x14ac:dyDescent="0.25">
      <c r="A3" t="s">
        <v>262</v>
      </c>
      <c r="B3" t="s">
        <v>263</v>
      </c>
      <c r="C3">
        <v>12</v>
      </c>
      <c r="D3" t="s">
        <v>264</v>
      </c>
      <c r="E3" t="s">
        <v>259</v>
      </c>
      <c r="F3" t="s">
        <v>260</v>
      </c>
      <c r="G3" t="s">
        <v>261</v>
      </c>
    </row>
    <row r="4" spans="1:7" x14ac:dyDescent="0.25">
      <c r="A4" t="s">
        <v>265</v>
      </c>
      <c r="B4" t="s">
        <v>266</v>
      </c>
      <c r="C4">
        <v>8</v>
      </c>
      <c r="D4" t="s">
        <v>267</v>
      </c>
      <c r="E4" t="s">
        <v>259</v>
      </c>
      <c r="F4" t="s">
        <v>260</v>
      </c>
      <c r="G4" t="s">
        <v>268</v>
      </c>
    </row>
    <row r="5" spans="1:7" x14ac:dyDescent="0.25">
      <c r="A5" t="s">
        <v>269</v>
      </c>
      <c r="B5" t="s">
        <v>270</v>
      </c>
      <c r="C5">
        <v>8</v>
      </c>
      <c r="D5" t="s">
        <v>271</v>
      </c>
      <c r="E5" t="s">
        <v>259</v>
      </c>
      <c r="F5" t="s">
        <v>260</v>
      </c>
      <c r="G5" t="s">
        <v>268</v>
      </c>
    </row>
    <row r="6" spans="1:7" x14ac:dyDescent="0.25">
      <c r="A6" t="s">
        <v>272</v>
      </c>
      <c r="B6" t="s">
        <v>273</v>
      </c>
      <c r="C6">
        <v>7</v>
      </c>
      <c r="D6" t="s">
        <v>274</v>
      </c>
      <c r="E6" t="s">
        <v>259</v>
      </c>
      <c r="F6" t="s">
        <v>260</v>
      </c>
      <c r="G6" t="s">
        <v>268</v>
      </c>
    </row>
    <row r="7" spans="1:7" x14ac:dyDescent="0.25">
      <c r="A7" t="s">
        <v>275</v>
      </c>
      <c r="B7" t="s">
        <v>276</v>
      </c>
      <c r="C7">
        <v>7</v>
      </c>
      <c r="D7" t="s">
        <v>277</v>
      </c>
      <c r="E7" t="s">
        <v>259</v>
      </c>
      <c r="F7" t="s">
        <v>260</v>
      </c>
      <c r="G7" t="s">
        <v>261</v>
      </c>
    </row>
    <row r="8" spans="1:7" x14ac:dyDescent="0.25">
      <c r="A8" t="s">
        <v>278</v>
      </c>
      <c r="B8" t="s">
        <v>279</v>
      </c>
      <c r="C8">
        <v>5</v>
      </c>
      <c r="D8" t="s">
        <v>280</v>
      </c>
      <c r="E8" t="s">
        <v>259</v>
      </c>
      <c r="F8" t="s">
        <v>260</v>
      </c>
      <c r="G8" t="s">
        <v>281</v>
      </c>
    </row>
    <row r="9" spans="1:7" x14ac:dyDescent="0.25">
      <c r="A9" t="s">
        <v>282</v>
      </c>
      <c r="B9" t="s">
        <v>283</v>
      </c>
      <c r="C9">
        <v>5</v>
      </c>
      <c r="D9" t="s">
        <v>284</v>
      </c>
      <c r="E9" t="s">
        <v>259</v>
      </c>
      <c r="F9" t="s">
        <v>260</v>
      </c>
      <c r="G9" t="s">
        <v>281</v>
      </c>
    </row>
    <row r="10" spans="1:7" x14ac:dyDescent="0.25">
      <c r="A10" t="s">
        <v>285</v>
      </c>
      <c r="B10" t="s">
        <v>286</v>
      </c>
      <c r="C10">
        <v>4</v>
      </c>
      <c r="D10" t="s">
        <v>287</v>
      </c>
      <c r="E10" t="s">
        <v>259</v>
      </c>
      <c r="F10" t="s">
        <v>260</v>
      </c>
      <c r="G10" t="s">
        <v>177</v>
      </c>
    </row>
    <row r="11" spans="1:7" x14ac:dyDescent="0.25">
      <c r="A11" t="s">
        <v>288</v>
      </c>
      <c r="B11" t="s">
        <v>289</v>
      </c>
      <c r="C11">
        <v>4</v>
      </c>
      <c r="D11" t="s">
        <v>290</v>
      </c>
      <c r="E11" t="s">
        <v>259</v>
      </c>
      <c r="F11" t="s">
        <v>260</v>
      </c>
      <c r="G11" t="s">
        <v>268</v>
      </c>
    </row>
    <row r="12" spans="1:7" x14ac:dyDescent="0.25">
      <c r="A12" t="s">
        <v>291</v>
      </c>
      <c r="B12" t="s">
        <v>292</v>
      </c>
      <c r="C12">
        <v>4</v>
      </c>
      <c r="D12" t="s">
        <v>293</v>
      </c>
      <c r="E12" t="s">
        <v>259</v>
      </c>
      <c r="F12" t="s">
        <v>260</v>
      </c>
      <c r="G12" t="s">
        <v>268</v>
      </c>
    </row>
    <row r="13" spans="1:7" x14ac:dyDescent="0.25">
      <c r="A13" t="s">
        <v>294</v>
      </c>
      <c r="B13" t="s">
        <v>295</v>
      </c>
      <c r="C13">
        <v>3</v>
      </c>
      <c r="D13" t="s">
        <v>296</v>
      </c>
      <c r="E13" t="s">
        <v>259</v>
      </c>
      <c r="F13" t="s">
        <v>260</v>
      </c>
      <c r="G13" t="s">
        <v>281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Proposed rows</vt:lpstr>
      <vt:lpstr>Excluded (not 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 Arnold</cp:lastModifiedBy>
  <dcterms:created xsi:type="dcterms:W3CDTF">2026-10-13T17:43:29Z</dcterms:created>
  <dcterms:modified xsi:type="dcterms:W3CDTF">2026-10-13T17:43:30Z</dcterms:modified>
</cp:coreProperties>
</file>